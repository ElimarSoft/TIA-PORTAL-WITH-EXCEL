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\Programacion\PLC Programming\"/>
    </mc:Choice>
  </mc:AlternateContent>
  <xr:revisionPtr revIDLastSave="0" documentId="8_{9375A26B-5AA3-42F3-99BF-D8CD351F9AEB}" xr6:coauthVersionLast="47" xr6:coauthVersionMax="47" xr10:uidLastSave="{00000000-0000-0000-0000-000000000000}"/>
  <bookViews>
    <workbookView xWindow="-120" yWindow="-120" windowWidth="29040" windowHeight="15720" firstSheet="4" activeTab="4" xr2:uid="{677C1DEF-B735-4C94-84BB-882C588BFE48}"/>
  </bookViews>
  <sheets>
    <sheet name="Code01" sheetId="3" r:id="rId1"/>
    <sheet name="Code01 (2)" sheetId="5" r:id="rId2"/>
    <sheet name="Diverter1" sheetId="8" r:id="rId3"/>
    <sheet name="Belt1" sheetId="11" r:id="rId4"/>
    <sheet name="Interface" sheetId="20" r:id="rId5"/>
    <sheet name="Structure" sheetId="15" r:id="rId6"/>
    <sheet name="VarList" sheetId="17" r:id="rId7"/>
    <sheet name="Timers" sheetId="27" r:id="rId8"/>
    <sheet name="Inputs" sheetId="22" r:id="rId9"/>
    <sheet name="Outputs" sheetId="23" r:id="rId10"/>
    <sheet name="Alarm Pulse" sheetId="24" r:id="rId11"/>
    <sheet name="Alarm Memory" sheetId="25" r:id="rId12"/>
    <sheet name="Clock" sheetId="26" r:id="rId13"/>
    <sheet name="Command" sheetId="21" r:id="rId14"/>
    <sheet name="DBs" sheetId="18" r:id="rId15"/>
    <sheet name="Graph" sheetId="19" r:id="rId16"/>
  </sheets>
  <functionGroups builtInGroupCount="19"/>
  <definedNames>
    <definedName name="_xlnm._FilterDatabase" localSheetId="8" hidden="1">Inputs!$B$1:$C$33</definedName>
    <definedName name="_xlnm._FilterDatabase" localSheetId="7" hidden="1">Timers!$A$1:$D$19</definedName>
    <definedName name="_xlnm._FilterDatabase" localSheetId="6" hidden="1">VarList!$A$1:$A$330</definedName>
    <definedName name="_xlpm.A" hidden="1" xlm="1">#NAME?</definedName>
    <definedName name="_xlpm.b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20" l="1"/>
  <c r="A52" i="20"/>
  <c r="C54" i="20"/>
  <c r="A54" i="20" s="1"/>
  <c r="C53" i="20"/>
  <c r="A50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14" i="20"/>
  <c r="A45" i="20"/>
  <c r="A4" i="20"/>
  <c r="A5" i="20"/>
  <c r="A6" i="20"/>
  <c r="A7" i="20"/>
  <c r="A8" i="20"/>
  <c r="A9" i="20"/>
  <c r="A10" i="20"/>
  <c r="A11" i="20"/>
  <c r="A12" i="20"/>
  <c r="A13" i="20"/>
  <c r="A3" i="20"/>
  <c r="C46" i="20"/>
  <c r="A46" i="20" s="1"/>
  <c r="C48" i="20"/>
  <c r="A48" i="20" s="1"/>
  <c r="C47" i="20"/>
  <c r="A47" i="20" s="1"/>
  <c r="C17" i="8"/>
  <c r="C15" i="8"/>
  <c r="D17" i="8"/>
  <c r="D15" i="8"/>
  <c r="A5" i="8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" i="27"/>
  <c r="A3" i="26"/>
  <c r="A4" i="26"/>
  <c r="A5" i="26"/>
  <c r="A2" i="26"/>
  <c r="A21" i="24"/>
  <c r="A19" i="24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2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2" i="24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5" i="22"/>
  <c r="A4" i="22"/>
  <c r="A3" i="22"/>
  <c r="A2" i="22"/>
  <c r="A6" i="22"/>
  <c r="A10" i="23"/>
  <c r="A11" i="23"/>
  <c r="A3" i="23"/>
  <c r="A4" i="23"/>
  <c r="A5" i="23"/>
  <c r="A6" i="23"/>
  <c r="A7" i="23"/>
  <c r="A8" i="23"/>
  <c r="A9" i="23"/>
  <c r="A2" i="23"/>
  <c r="A3" i="11"/>
  <c r="A5" i="11"/>
  <c r="A19" i="11"/>
  <c r="A21" i="11"/>
  <c r="H17" i="8"/>
  <c r="G17" i="8"/>
  <c r="F17" i="8"/>
  <c r="H15" i="8"/>
  <c r="G15" i="8"/>
  <c r="F15" i="8"/>
  <c r="A11" i="8"/>
  <c r="A9" i="8"/>
  <c r="A7" i="8"/>
  <c r="C31" i="5"/>
  <c r="C29" i="5"/>
  <c r="C28" i="5"/>
  <c r="C26" i="5"/>
  <c r="C25" i="5"/>
  <c r="C23" i="5"/>
  <c r="C22" i="5"/>
  <c r="C19" i="5"/>
  <c r="C16" i="5"/>
  <c r="C15" i="5"/>
  <c r="C14" i="5"/>
  <c r="C12" i="5"/>
  <c r="C10" i="5"/>
  <c r="C9" i="5"/>
  <c r="C7" i="5"/>
  <c r="C5" i="5"/>
  <c r="C4" i="5"/>
  <c r="C3" i="5"/>
  <c r="C2" i="5"/>
  <c r="C42" i="3"/>
  <c r="C39" i="3"/>
  <c r="C38" i="3"/>
  <c r="C37" i="3"/>
  <c r="C35" i="3"/>
  <c r="C30" i="3"/>
  <c r="C28" i="3"/>
  <c r="C27" i="3"/>
  <c r="C26" i="3"/>
  <c r="C15" i="3"/>
  <c r="C14" i="3"/>
  <c r="C11" i="3"/>
  <c r="C10" i="3"/>
  <c r="C9" i="3"/>
  <c r="C7" i="3"/>
  <c r="C6" i="3"/>
  <c r="C5" i="3"/>
  <c r="C4" i="3"/>
  <c r="C3" i="3"/>
  <c r="C2" i="3"/>
  <c r="A15" i="11"/>
  <c r="A13" i="11"/>
  <c r="A31" i="11"/>
  <c r="A23" i="11"/>
  <c r="A25" i="11"/>
  <c r="B3" i="21" a="1"/>
  <c r="A15" i="8"/>
  <c r="A17" i="11"/>
  <c r="A17" i="8"/>
  <c r="A29" i="11"/>
  <c r="A11" i="11"/>
  <c r="A27" i="11"/>
  <c r="B11" i="11"/>
  <c r="B17" i="11"/>
  <c r="B31" i="11"/>
  <c r="B23" i="11"/>
  <c r="B15" i="11"/>
  <c r="B25" i="11"/>
  <c r="B13" i="11"/>
  <c r="B29" i="11"/>
  <c r="B27" i="11"/>
  <c r="B3" i="21" l="1"/>
  <c r="B2" i="21" a="1"/>
  <c r="B2" i="21" l="1"/>
  <c r="B4" i="21" a="1"/>
  <c r="B4" i="2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<sst xmlns="http://schemas.openxmlformats.org/spreadsheetml/2006/main" count="1899" uniqueCount="575">
  <si>
    <t>MoveOn</t>
  </si>
  <si>
    <t>Detector</t>
  </si>
  <si>
    <t>Clock</t>
  </si>
  <si>
    <t>#StartPulseCounter.ActValue -= 1</t>
  </si>
  <si>
    <t>#StartPulseCounter.ActValue &gt; 1</t>
  </si>
  <si>
    <t>StartPulseCounter</t>
  </si>
  <si>
    <t>StartTimeOut.Alm</t>
  </si>
  <si>
    <t>WatchTimeOut.Alm</t>
  </si>
  <si>
    <t>Sig</t>
  </si>
  <si>
    <t>Inp</t>
  </si>
  <si>
    <t>Clk</t>
  </si>
  <si>
    <t>Element</t>
  </si>
  <si>
    <t>Input</t>
  </si>
  <si>
    <t>Code</t>
  </si>
  <si>
    <t>StartClockCounter</t>
  </si>
  <si>
    <t>WatchClockCounter</t>
  </si>
  <si>
    <t>Start</t>
  </si>
  <si>
    <t>#Start.Pul</t>
  </si>
  <si>
    <t>#StartPulseCounter.ActValue := #StartPulseCounter.ResValue</t>
  </si>
  <si>
    <t>#StartClockCounter.ActValue := #StartClockCounter.ResValue</t>
  </si>
  <si>
    <t>ProtectionFault</t>
  </si>
  <si>
    <t>Motor.ThProt.Alm</t>
  </si>
  <si>
    <t>EmergencyStop.Alm</t>
  </si>
  <si>
    <t>#A.Status.On</t>
  </si>
  <si>
    <t>#A.MovStart</t>
  </si>
  <si>
    <t>#A.MovStop</t>
  </si>
  <si>
    <t>A.Status.Released</t>
  </si>
  <si>
    <t>#B.PosTimer</t>
  </si>
  <si>
    <t>#B.MoveTo</t>
  </si>
  <si>
    <t>B.Alm</t>
  </si>
  <si>
    <t>#A.MoveTo AND #A.OnPos</t>
  </si>
  <si>
    <t>#A.MoveTo:=False</t>
  </si>
  <si>
    <t>#B.MoveTo:=False</t>
  </si>
  <si>
    <t>#B.MoveTo AND #B.OnPos</t>
  </si>
  <si>
    <t>#A.</t>
  </si>
  <si>
    <t>Pos[n].OnPos</t>
  </si>
  <si>
    <t>#Pos[n].PosTimer</t>
  </si>
  <si>
    <t>#Pos[n].MoveTo</t>
  </si>
  <si>
    <t>Pos[n].Alm</t>
  </si>
  <si>
    <t>PosTimer</t>
  </si>
  <si>
    <t>MoveTo</t>
  </si>
  <si>
    <t>Alm.Sig</t>
  </si>
  <si>
    <t>PosTimer.Tmr.Q</t>
  </si>
  <si>
    <t>Alm</t>
  </si>
  <si>
    <t>#Pos[#n].</t>
  </si>
  <si>
    <t>#Motor.ThProt.Alm.Mem</t>
  </si>
  <si>
    <t>FOR #n := 0 TO 1 DO</t>
  </si>
  <si>
    <t>END_FOR;</t>
  </si>
  <si>
    <t>Data1</t>
  </si>
  <si>
    <t>Data2</t>
  </si>
  <si>
    <t>Base</t>
  </si>
  <si>
    <t>#DirForWard</t>
  </si>
  <si>
    <t>#DirBackWard</t>
  </si>
  <si>
    <t>#EmergencyStop.Alm.Inp</t>
  </si>
  <si>
    <t>#EmergencyStop.Alm.Mem</t>
  </si>
  <si>
    <t>Output</t>
  </si>
  <si>
    <t>Alarm</t>
  </si>
  <si>
    <t>TON</t>
  </si>
  <si>
    <t>TOF</t>
  </si>
  <si>
    <t>#Dir[n].Status.On := TRUE</t>
  </si>
  <si>
    <t>#Dir[n].Status.On</t>
  </si>
  <si>
    <t>#Dir[n].Interface.Input.Start</t>
  </si>
  <si>
    <t>#Dir[n].Status.On := FALSE</t>
  </si>
  <si>
    <t>#Dir[n].Interface.Input.Stop</t>
  </si>
  <si>
    <t>#Dir[n].LimitSwitch.Inp</t>
  </si>
  <si>
    <t xml:space="preserve"> #Dir[n].MovStart</t>
  </si>
  <si>
    <t>#Dir[n].Interface.Output.Start</t>
  </si>
  <si>
    <t>#Dir[n].MovStart.Tmr.Q</t>
  </si>
  <si>
    <t>#Dir[n].Interface.Output.Stop</t>
  </si>
  <si>
    <t>#Dir[n].MovStop.Tmr.Q</t>
  </si>
  <si>
    <t>#Dir[n].Drive.Out</t>
  </si>
  <si>
    <t>#Dir[n].Status.Released</t>
  </si>
  <si>
    <t>Mem</t>
  </si>
  <si>
    <t>Pul</t>
  </si>
  <si>
    <t>Bool</t>
  </si>
  <si>
    <t>Tmr</t>
  </si>
  <si>
    <t>Tim</t>
  </si>
  <si>
    <t>Struct</t>
  </si>
  <si>
    <t>IEC_TIMER</t>
  </si>
  <si>
    <t>PT</t>
  </si>
  <si>
    <t>Time</t>
  </si>
  <si>
    <t>ET</t>
  </si>
  <si>
    <t>IN</t>
  </si>
  <si>
    <t>Q</t>
  </si>
  <si>
    <t>"Input"</t>
  </si>
  <si>
    <t>"Clock"</t>
  </si>
  <si>
    <t>ThProt</t>
  </si>
  <si>
    <t>["name" ...]</t>
  </si>
  <si>
    <t>["name" ...] [/group/]</t>
  </si>
  <si>
    <t>name</t>
  </si>
  <si>
    <t>Graphics</t>
  </si>
  <si>
    <t>GlobalMasterCopies</t>
  </si>
  <si>
    <t>GlobalTypes</t>
  </si>
  <si>
    <t>ProjectMasterCopies</t>
  </si>
  <si>
    <t>ProjectTypes</t>
  </si>
  <si>
    <t>Plc</t>
  </si>
  <si>
    <t>UserDataTypes</t>
  </si>
  <si>
    <t>ExternalSources</t>
  </si>
  <si>
    <t>ProgramBlocks</t>
  </si>
  <si>
    <t>SystemBlocks</t>
  </si>
  <si>
    <t>Constants</t>
  </si>
  <si>
    <t>PlcTags</t>
  </si>
  <si>
    <t>PlcTagTables</t>
  </si>
  <si>
    <t>Hmi</t>
  </si>
  <si>
    <t>Screens</t>
  </si>
  <si>
    <t>ScreenTemplates</t>
  </si>
  <si>
    <t>GraphicLists</t>
  </si>
  <si>
    <t>TextLists</t>
  </si>
  <si>
    <t>HmiTags</t>
  </si>
  <si>
    <t>HmiTagTables</t>
  </si>
  <si>
    <t>VbScripts</t>
  </si>
  <si>
    <t>Connections</t>
  </si>
  <si>
    <t>Cycles</t>
  </si>
  <si>
    <t>Belt1</t>
  </si>
  <si>
    <t>Dir[0]</t>
  </si>
  <si>
    <t>Array[0..1] of Struct</t>
  </si>
  <si>
    <t>Interface</t>
  </si>
  <si>
    <t>Stop</t>
  </si>
  <si>
    <t>LimitSwitch</t>
  </si>
  <si>
    <t>Status</t>
  </si>
  <si>
    <t>On</t>
  </si>
  <si>
    <t>Released</t>
  </si>
  <si>
    <t>Drive</t>
  </si>
  <si>
    <t>Out</t>
  </si>
  <si>
    <t>MovStart</t>
  </si>
  <si>
    <t>"Timer1"</t>
  </si>
  <si>
    <t>MovStop</t>
  </si>
  <si>
    <t>Dir[1]</t>
  </si>
  <si>
    <t>RotDetector</t>
  </si>
  <si>
    <t>"RotDetector"</t>
  </si>
  <si>
    <t>"Signal"</t>
  </si>
  <si>
    <t>Opt</t>
  </si>
  <si>
    <t>WatchControl</t>
  </si>
  <si>
    <t>ActValue</t>
  </si>
  <si>
    <t>Int</t>
  </si>
  <si>
    <t>ResValue</t>
  </si>
  <si>
    <t>WatchTimeOut</t>
  </si>
  <si>
    <t>"Alarm"</t>
  </si>
  <si>
    <t>MoveOk</t>
  </si>
  <si>
    <t>Motor</t>
  </si>
  <si>
    <t>EmergencyStop</t>
  </si>
  <si>
    <t>Belt2</t>
  </si>
  <si>
    <t>"Belt1"</t>
  </si>
  <si>
    <t>Belt3</t>
  </si>
  <si>
    <t>Instalation_DB</t>
  </si>
  <si>
    <t>Instalation_DB.Belt1.Dir[0].Interface.Input.Start</t>
  </si>
  <si>
    <t>Instalation_DB.Belt1.Dir[0].Interface.Input.Stop</t>
  </si>
  <si>
    <t>Instalation_DB.Belt1.Dir[0].Interface.Output.Start</t>
  </si>
  <si>
    <t>Instalation_DB.Belt1.Dir[0].Interface.Output.Stop</t>
  </si>
  <si>
    <t>Instalation_DB.Belt1.Dir[0].LimitSwitch.Inp</t>
  </si>
  <si>
    <t>Instalation_DB.Belt1.Dir[0].Status.On</t>
  </si>
  <si>
    <t>Instalation_DB.Belt1.Dir[0].Status.Released</t>
  </si>
  <si>
    <t>Instalation_DB.Belt1.Dir[0].Drive.Out</t>
  </si>
  <si>
    <t>Instalation_DB.Belt1.Dir[0].MovStart.Tmr.PT</t>
  </si>
  <si>
    <t>Instalation_DB.Belt1.Dir[0].MovStart.Tmr.ET</t>
  </si>
  <si>
    <t>Instalation_DB.Belt1.Dir[0].MovStart.Tmr.IN</t>
  </si>
  <si>
    <t>Instalation_DB.Belt1.Dir[0].MovStart.Tmr.Q</t>
  </si>
  <si>
    <t>Instalation_DB.Belt1.Dir[0].MovStart.Tim</t>
  </si>
  <si>
    <t>Instalation_DB.Belt1.Dir[0].MovStop.Tmr.PT</t>
  </si>
  <si>
    <t>Instalation_DB.Belt1.Dir[0].MovStop.Tmr.ET</t>
  </si>
  <si>
    <t>Instalation_DB.Belt1.Dir[0].MovStop.Tmr.IN</t>
  </si>
  <si>
    <t>Instalation_DB.Belt1.Dir[0].MovStop.Tmr.Q</t>
  </si>
  <si>
    <t>Instalation_DB.Belt1.Dir[0].MovStop.Tim</t>
  </si>
  <si>
    <t>Instalation_DB.Belt1.Dir[1].Interface.Input.Start</t>
  </si>
  <si>
    <t>Instalation_DB.Belt1.Dir[1].Interface.Input.Stop</t>
  </si>
  <si>
    <t>Instalation_DB.Belt1.Dir[1].Interface.Output.Start</t>
  </si>
  <si>
    <t>Instalation_DB.Belt1.Dir[1].Interface.Output.Stop</t>
  </si>
  <si>
    <t>Instalation_DB.Belt1.Dir[1].LimitSwitch.Inp</t>
  </si>
  <si>
    <t>Instalation_DB.Belt1.Dir[1].Status.On</t>
  </si>
  <si>
    <t>Instalation_DB.Belt1.Dir[1].Status.Released</t>
  </si>
  <si>
    <t>Instalation_DB.Belt1.Dir[1].Drive.Out</t>
  </si>
  <si>
    <t>Instalation_DB.Belt1.Dir[1].MovStart.Tmr.PT</t>
  </si>
  <si>
    <t>Instalation_DB.Belt1.Dir[1].MovStart.Tmr.ET</t>
  </si>
  <si>
    <t>Instalation_DB.Belt1.Dir[1].MovStart.Tmr.IN</t>
  </si>
  <si>
    <t>Instalation_DB.Belt1.Dir[1].MovStart.Tmr.Q</t>
  </si>
  <si>
    <t>Instalation_DB.Belt1.Dir[1].MovStart.Tim</t>
  </si>
  <si>
    <t>Instalation_DB.Belt1.Dir[1].MovStop.Tmr.PT</t>
  </si>
  <si>
    <t>Instalation_DB.Belt1.Dir[1].MovStop.Tmr.ET</t>
  </si>
  <si>
    <t>Instalation_DB.Belt1.Dir[1].MovStop.Tmr.IN</t>
  </si>
  <si>
    <t>Instalation_DB.Belt1.Dir[1].MovStop.Tmr.Q</t>
  </si>
  <si>
    <t>Instalation_DB.Belt1.Dir[1].MovStop.Tim</t>
  </si>
  <si>
    <t>Instalation_DB.Belt1.RotDetector.Start.Sig</t>
  </si>
  <si>
    <t>Instalation_DB.Belt1.RotDetector.Start.Mem</t>
  </si>
  <si>
    <t>Instalation_DB.Belt1.RotDetector.Start.Pul</t>
  </si>
  <si>
    <t>Instalation_DB.Belt1.RotDetector.Detector.Inp</t>
  </si>
  <si>
    <t>Instalation_DB.Belt1.RotDetector.Detector.Mem</t>
  </si>
  <si>
    <t>Instalation_DB.Belt1.RotDetector.Detector.Pul</t>
  </si>
  <si>
    <t>Instalation_DB.Belt1.RotDetector.Clock.Clk</t>
  </si>
  <si>
    <t>Instalation_DB.Belt1.RotDetector.Clock.Mem</t>
  </si>
  <si>
    <t>Instalation_DB.Belt1.RotDetector.Clock.Pul</t>
  </si>
  <si>
    <t>Instalation_DB.Belt1.RotDetector.Opt.WatchControl</t>
  </si>
  <si>
    <t>Instalation_DB.Belt1.RotDetector.StartClockCounter.ActValue</t>
  </si>
  <si>
    <t>Instalation_DB.Belt1.RotDetector.StartClockCounter.ResValue</t>
  </si>
  <si>
    <t>Instalation_DB.Belt1.RotDetector.WatchClockCounter.ActValue</t>
  </si>
  <si>
    <t>Instalation_DB.Belt1.RotDetector.WatchClockCounter.ResValue</t>
  </si>
  <si>
    <t>Instalation_DB.Belt1.RotDetector.StartPulseCounter.ActValue</t>
  </si>
  <si>
    <t>Instalation_DB.Belt1.RotDetector.StartPulseCounter.ResValue</t>
  </si>
  <si>
    <t>Instalation_DB.Belt1.RotDetector.WatchTimeOut.Alm.Sig</t>
  </si>
  <si>
    <t>Instalation_DB.Belt1.RotDetector.WatchTimeOut.Alm.Mem</t>
  </si>
  <si>
    <t>Instalation_DB.Belt1.RotDetector.WatchTimeOut.Alm.Pul</t>
  </si>
  <si>
    <t>Instalation_DB.Belt1.RotDetector.MoveOk</t>
  </si>
  <si>
    <t>Instalation_DB.Belt1.Motor.ThProt.Alm.Inp</t>
  </si>
  <si>
    <t>Instalation_DB.Belt1.Motor.ThProt.Alm.Mem</t>
  </si>
  <si>
    <t>Instalation_DB.Belt1.Motor.ThProt.Alm.Pul</t>
  </si>
  <si>
    <t>Instalation_DB.Belt1.EmergencyStop.Alm.Inp</t>
  </si>
  <si>
    <t>Instalation_DB.Belt1.EmergencyStop.Alm.Mem</t>
  </si>
  <si>
    <t>Instalation_DB.Belt1.EmergencyStop.Alm.Pul</t>
  </si>
  <si>
    <t>Instalation_DB.Belt2.Dir[0].Interface.Input.Start</t>
  </si>
  <si>
    <t>Instalation_DB.Belt2.Dir[0].Interface.Input.Stop</t>
  </si>
  <si>
    <t>Instalation_DB.Belt2.Dir[0].Interface.Output.Start</t>
  </si>
  <si>
    <t>Instalation_DB.Belt2.Dir[0].Interface.Output.Stop</t>
  </si>
  <si>
    <t>Instalation_DB.Belt2.Dir[0].LimitSwitch.Inp</t>
  </si>
  <si>
    <t>Instalation_DB.Belt2.Dir[0].Status.On</t>
  </si>
  <si>
    <t>Instalation_DB.Belt2.Dir[0].Status.Released</t>
  </si>
  <si>
    <t>Instalation_DB.Belt2.Dir[0].Drive.Out</t>
  </si>
  <si>
    <t>Instalation_DB.Belt2.Dir[0].MovStart.Tmr.PT</t>
  </si>
  <si>
    <t>Instalation_DB.Belt2.Dir[0].MovStart.Tmr.ET</t>
  </si>
  <si>
    <t>Instalation_DB.Belt2.Dir[0].MovStart.Tmr.IN</t>
  </si>
  <si>
    <t>Instalation_DB.Belt2.Dir[0].MovStart.Tmr.Q</t>
  </si>
  <si>
    <t>Instalation_DB.Belt2.Dir[0].MovStart.Tim</t>
  </si>
  <si>
    <t>Instalation_DB.Belt2.Dir[0].MovStop.Tmr.PT</t>
  </si>
  <si>
    <t>Instalation_DB.Belt2.Dir[0].MovStop.Tmr.ET</t>
  </si>
  <si>
    <t>Instalation_DB.Belt2.Dir[0].MovStop.Tmr.IN</t>
  </si>
  <si>
    <t>Instalation_DB.Belt2.Dir[0].MovStop.Tmr.Q</t>
  </si>
  <si>
    <t>Instalation_DB.Belt2.Dir[0].MovStop.Tim</t>
  </si>
  <si>
    <t>Instalation_DB.Belt2.Dir[1].Interface.Input.Start</t>
  </si>
  <si>
    <t>Instalation_DB.Belt2.Dir[1].Interface.Input.Stop</t>
  </si>
  <si>
    <t>Instalation_DB.Belt2.Dir[1].Interface.Output.Start</t>
  </si>
  <si>
    <t>Instalation_DB.Belt2.Dir[1].Interface.Output.Stop</t>
  </si>
  <si>
    <t>Instalation_DB.Belt2.Dir[1].LimitSwitch.Inp</t>
  </si>
  <si>
    <t>Instalation_DB.Belt2.Dir[1].Status.On</t>
  </si>
  <si>
    <t>Instalation_DB.Belt2.Dir[1].Status.Released</t>
  </si>
  <si>
    <t>Instalation_DB.Belt2.Dir[1].Drive.Out</t>
  </si>
  <si>
    <t>Instalation_DB.Belt2.Dir[1].MovStart.Tmr.PT</t>
  </si>
  <si>
    <t>Instalation_DB.Belt2.Dir[1].MovStart.Tmr.ET</t>
  </si>
  <si>
    <t>Instalation_DB.Belt2.Dir[1].MovStart.Tmr.IN</t>
  </si>
  <si>
    <t>Instalation_DB.Belt2.Dir[1].MovStart.Tmr.Q</t>
  </si>
  <si>
    <t>Instalation_DB.Belt2.Dir[1].MovStart.Tim</t>
  </si>
  <si>
    <t>Instalation_DB.Belt2.Dir[1].MovStop.Tmr.PT</t>
  </si>
  <si>
    <t>Instalation_DB.Belt2.Dir[1].MovStop.Tmr.ET</t>
  </si>
  <si>
    <t>Instalation_DB.Belt2.Dir[1].MovStop.Tmr.IN</t>
  </si>
  <si>
    <t>Instalation_DB.Belt2.Dir[1].MovStop.Tmr.Q</t>
  </si>
  <si>
    <t>Instalation_DB.Belt2.Dir[1].MovStop.Tim</t>
  </si>
  <si>
    <t>Instalation_DB.Belt2.RotDetector.Start.Sig</t>
  </si>
  <si>
    <t>Instalation_DB.Belt2.RotDetector.Start.Mem</t>
  </si>
  <si>
    <t>Instalation_DB.Belt2.RotDetector.Start.Pul</t>
  </si>
  <si>
    <t>Instalation_DB.Belt2.RotDetector.Detector.Inp</t>
  </si>
  <si>
    <t>Instalation_DB.Belt2.RotDetector.Detector.Mem</t>
  </si>
  <si>
    <t>Instalation_DB.Belt2.RotDetector.Detector.Pul</t>
  </si>
  <si>
    <t>Instalation_DB.Belt2.RotDetector.Clock.Clk</t>
  </si>
  <si>
    <t>Instalation_DB.Belt2.RotDetector.Clock.Mem</t>
  </si>
  <si>
    <t>Instalation_DB.Belt2.RotDetector.Clock.Pul</t>
  </si>
  <si>
    <t>Instalation_DB.Belt2.RotDetector.Opt.WatchControl</t>
  </si>
  <si>
    <t>Instalation_DB.Belt2.RotDetector.StartClockCounter.ActValue</t>
  </si>
  <si>
    <t>Instalation_DB.Belt2.RotDetector.StartClockCounter.ResValue</t>
  </si>
  <si>
    <t>Instalation_DB.Belt2.RotDetector.WatchClockCounter.ActValue</t>
  </si>
  <si>
    <t>Instalation_DB.Belt2.RotDetector.WatchClockCounter.ResValue</t>
  </si>
  <si>
    <t>Instalation_DB.Belt2.RotDetector.StartPulseCounter.ActValue</t>
  </si>
  <si>
    <t>Instalation_DB.Belt2.RotDetector.StartPulseCounter.ResValue</t>
  </si>
  <si>
    <t>Instalation_DB.Belt2.RotDetector.WatchTimeOut.Alm.Sig</t>
  </si>
  <si>
    <t>Instalation_DB.Belt2.RotDetector.WatchTimeOut.Alm.Mem</t>
  </si>
  <si>
    <t>Instalation_DB.Belt2.RotDetector.WatchTimeOut.Alm.Pul</t>
  </si>
  <si>
    <t>Instalation_DB.Belt2.RotDetector.MoveOk</t>
  </si>
  <si>
    <t>Instalation_DB.Belt2.Motor.ThProt.Alm.Inp</t>
  </si>
  <si>
    <t>Instalation_DB.Belt2.Motor.ThProt.Alm.Mem</t>
  </si>
  <si>
    <t>Instalation_DB.Belt2.Motor.ThProt.Alm.Pul</t>
  </si>
  <si>
    <t>Instalation_DB.Belt2.EmergencyStop.Alm.Inp</t>
  </si>
  <si>
    <t>Instalation_DB.Belt2.EmergencyStop.Alm.Mem</t>
  </si>
  <si>
    <t>Instalation_DB.Belt2.EmergencyStop.Alm.Pul</t>
  </si>
  <si>
    <t>Instalation_DB.Belt3.Dir[0].Interface.Input.Start</t>
  </si>
  <si>
    <t>Instalation_DB.Belt3.Dir[0].Interface.Input.Stop</t>
  </si>
  <si>
    <t>Instalation_DB.Belt3.Dir[0].Interface.Output.Start</t>
  </si>
  <si>
    <t>Instalation_DB.Belt3.Dir[0].Interface.Output.Stop</t>
  </si>
  <si>
    <t>Instalation_DB.Belt3.Dir[0].LimitSwitch.Inp</t>
  </si>
  <si>
    <t>Instalation_DB.Belt3.Dir[0].Status.On</t>
  </si>
  <si>
    <t>Instalation_DB.Belt3.Dir[0].Status.Released</t>
  </si>
  <si>
    <t>Instalation_DB.Belt3.Dir[0].Drive.Out</t>
  </si>
  <si>
    <t>Instalation_DB.Belt3.Dir[0].MovStart.Tmr.PT</t>
  </si>
  <si>
    <t>Instalation_DB.Belt3.Dir[0].MovStart.Tmr.ET</t>
  </si>
  <si>
    <t>Instalation_DB.Belt3.Dir[0].MovStart.Tmr.IN</t>
  </si>
  <si>
    <t>Instalation_DB.Belt3.Dir[0].MovStart.Tmr.Q</t>
  </si>
  <si>
    <t>Instalation_DB.Belt3.Dir[0].MovStart.Tim</t>
  </si>
  <si>
    <t>Instalation_DB.Belt3.Dir[0].MovStop.Tmr.PT</t>
  </si>
  <si>
    <t>Instalation_DB.Belt3.Dir[0].MovStop.Tmr.ET</t>
  </si>
  <si>
    <t>Instalation_DB.Belt3.Dir[0].MovStop.Tmr.IN</t>
  </si>
  <si>
    <t>Instalation_DB.Belt3.Dir[0].MovStop.Tmr.Q</t>
  </si>
  <si>
    <t>Instalation_DB.Belt3.Dir[0].MovStop.Tim</t>
  </si>
  <si>
    <t>Instalation_DB.Belt3.Dir[1].Interface.Input.Start</t>
  </si>
  <si>
    <t>Instalation_DB.Belt3.Dir[1].Interface.Input.Stop</t>
  </si>
  <si>
    <t>Instalation_DB.Belt3.Dir[1].Interface.Output.Start</t>
  </si>
  <si>
    <t>Instalation_DB.Belt3.Dir[1].Interface.Output.Stop</t>
  </si>
  <si>
    <t>Instalation_DB.Belt3.Dir[1].LimitSwitch.Inp</t>
  </si>
  <si>
    <t>Instalation_DB.Belt3.Dir[1].Status.On</t>
  </si>
  <si>
    <t>Instalation_DB.Belt3.Dir[1].Status.Released</t>
  </si>
  <si>
    <t>Instalation_DB.Belt3.Dir[1].Drive.Out</t>
  </si>
  <si>
    <t>Instalation_DB.Belt3.Dir[1].MovStart.Tmr.PT</t>
  </si>
  <si>
    <t>Instalation_DB.Belt3.Dir[1].MovStart.Tmr.ET</t>
  </si>
  <si>
    <t>Instalation_DB.Belt3.Dir[1].MovStart.Tmr.IN</t>
  </si>
  <si>
    <t>Instalation_DB.Belt3.Dir[1].MovStart.Tmr.Q</t>
  </si>
  <si>
    <t>Instalation_DB.Belt3.Dir[1].MovStart.Tim</t>
  </si>
  <si>
    <t>Instalation_DB.Belt3.Dir[1].MovStop.Tmr.PT</t>
  </si>
  <si>
    <t>Instalation_DB.Belt3.Dir[1].MovStop.Tmr.ET</t>
  </si>
  <si>
    <t>Instalation_DB.Belt3.Dir[1].MovStop.Tmr.IN</t>
  </si>
  <si>
    <t>Instalation_DB.Belt3.Dir[1].MovStop.Tmr.Q</t>
  </si>
  <si>
    <t>Instalation_DB.Belt3.Dir[1].MovStop.Tim</t>
  </si>
  <si>
    <t>Instalation_DB.Belt3.RotDetector.Start.Sig</t>
  </si>
  <si>
    <t>Instalation_DB.Belt3.RotDetector.Start.Mem</t>
  </si>
  <si>
    <t>Instalation_DB.Belt3.RotDetector.Start.Pul</t>
  </si>
  <si>
    <t>Instalation_DB.Belt3.RotDetector.Detector.Inp</t>
  </si>
  <si>
    <t>Instalation_DB.Belt3.RotDetector.Detector.Mem</t>
  </si>
  <si>
    <t>Instalation_DB.Belt3.RotDetector.Detector.Pul</t>
  </si>
  <si>
    <t>Instalation_DB.Belt3.RotDetector.Clock.Clk</t>
  </si>
  <si>
    <t>Instalation_DB.Belt3.RotDetector.Clock.Mem</t>
  </si>
  <si>
    <t>Instalation_DB.Belt3.RotDetector.Clock.Pul</t>
  </si>
  <si>
    <t>Instalation_DB.Belt3.RotDetector.Opt.WatchControl</t>
  </si>
  <si>
    <t>Instalation_DB.Belt3.RotDetector.StartClockCounter.ActValue</t>
  </si>
  <si>
    <t>Instalation_DB.Belt3.RotDetector.StartClockCounter.ResValue</t>
  </si>
  <si>
    <t>Instalation_DB.Belt3.RotDetector.WatchClockCounter.ActValue</t>
  </si>
  <si>
    <t>Instalation_DB.Belt3.RotDetector.WatchClockCounter.ResValue</t>
  </si>
  <si>
    <t>Instalation_DB.Belt3.RotDetector.StartPulseCounter.ActValue</t>
  </si>
  <si>
    <t>Instalation_DB.Belt3.RotDetector.StartPulseCounter.ResValue</t>
  </si>
  <si>
    <t>Instalation_DB.Belt3.RotDetector.WatchTimeOut.Alm.Sig</t>
  </si>
  <si>
    <t>Instalation_DB.Belt3.RotDetector.WatchTimeOut.Alm.Mem</t>
  </si>
  <si>
    <t>Instalation_DB.Belt3.RotDetector.WatchTimeOut.Alm.Pul</t>
  </si>
  <si>
    <t>Instalation_DB.Belt3.RotDetector.MoveOk</t>
  </si>
  <si>
    <t>Instalation_DB.Belt3.Motor.ThProt.Alm.Inp</t>
  </si>
  <si>
    <t>Instalation_DB.Belt3.Motor.ThProt.Alm.Mem</t>
  </si>
  <si>
    <t>Instalation_DB.Belt3.Motor.ThProt.Alm.Pul</t>
  </si>
  <si>
    <t>Instalation_DB.Belt3.EmergencyStop.Alm.Inp</t>
  </si>
  <si>
    <t>Instalation_DB.Belt3.EmergencyStop.Alm.Mem</t>
  </si>
  <si>
    <t>Instalation_DB.Belt3.EmergencyStop.Alm.Pul</t>
  </si>
  <si>
    <t>TagData</t>
  </si>
  <si>
    <t>END_REGION</t>
  </si>
  <si>
    <t>#n := #DirForWard;</t>
  </si>
  <si>
    <t>REGION ForWard</t>
  </si>
  <si>
    <t>Instalation_DB.Belt1.Motor.Dir[0].On</t>
  </si>
  <si>
    <t>Instalation_DB.Belt1.Motor.Dir[1].On</t>
  </si>
  <si>
    <t>Instalation_DB.Belt1.Motor.On</t>
  </si>
  <si>
    <t>"Status"</t>
  </si>
  <si>
    <t>Byte</t>
  </si>
  <si>
    <t>Instalation_DB.Belt1.EmergencyStop.Status.Stop</t>
  </si>
  <si>
    <t>RunningForward</t>
  </si>
  <si>
    <t>Instalation_DB.Belt1.EmergencyStop.Status.RunningForward</t>
  </si>
  <si>
    <t>RunningBackward</t>
  </si>
  <si>
    <t>Instalation_DB.Belt1.EmergencyStop.Status.RunningBackward</t>
  </si>
  <si>
    <t>RunningSlow</t>
  </si>
  <si>
    <t>Instalation_DB.Belt1.EmergencyStop.Status.RunningSlow</t>
  </si>
  <si>
    <t>RunningFast</t>
  </si>
  <si>
    <t>Instalation_DB.Belt1.EmergencyStop.Status.RunningFast</t>
  </si>
  <si>
    <t>Instalation_DB.Belt2.Motor.Dir[0].On</t>
  </si>
  <si>
    <t>Instalation_DB.Belt2.Motor.Dir[1].On</t>
  </si>
  <si>
    <t>Instalation_DB.Belt2.Motor.On</t>
  </si>
  <si>
    <t>Instalation_DB.Belt2.EmergencyStop.Status.Stop</t>
  </si>
  <si>
    <t>Instalation_DB.Belt2.EmergencyStop.Status.RunningForward</t>
  </si>
  <si>
    <t>Instalation_DB.Belt2.EmergencyStop.Status.RunningBackward</t>
  </si>
  <si>
    <t>Instalation_DB.Belt2.EmergencyStop.Status.RunningSlow</t>
  </si>
  <si>
    <t>Instalation_DB.Belt2.EmergencyStop.Status.RunningFast</t>
  </si>
  <si>
    <t>Instalation_DB.Belt3.Motor.Dir[0].On</t>
  </si>
  <si>
    <t>Instalation_DB.Belt3.Motor.Dir[1].On</t>
  </si>
  <si>
    <t>Instalation_DB.Belt3.Motor.On</t>
  </si>
  <si>
    <t>Instalation_DB.Belt3.EmergencyStop.Status.Stop</t>
  </si>
  <si>
    <t>Instalation_DB.Belt3.EmergencyStop.Status.RunningForward</t>
  </si>
  <si>
    <t>Instalation_DB.Belt3.EmergencyStop.Status.RunningBackward</t>
  </si>
  <si>
    <t>Instalation_DB.Belt3.EmergencyStop.Status.RunningSlow</t>
  </si>
  <si>
    <t>Instalation_DB.Belt3.EmergencyStop.Status.RunningFast</t>
  </si>
  <si>
    <t>First</t>
  </si>
  <si>
    <t>Second</t>
  </si>
  <si>
    <t>Belt1.Dir[0]</t>
  </si>
  <si>
    <t>Belt2.Dir[0]</t>
  </si>
  <si>
    <t>Belt2.Dir[1]</t>
  </si>
  <si>
    <t>Belt3.Dir[1]</t>
  </si>
  <si>
    <t>Belt3.Dir[0]</t>
  </si>
  <si>
    <t>Div1</t>
  </si>
  <si>
    <t>"Diverter1"</t>
  </si>
  <si>
    <t>Pos[0]</t>
  </si>
  <si>
    <t>OnPos</t>
  </si>
  <si>
    <t>Instalation_DB.Div1.Pos[0].OnPos.Sig</t>
  </si>
  <si>
    <t>Instalation_DB.Div1.Pos[0].OnPos.Mem</t>
  </si>
  <si>
    <t>Instalation_DB.Div1.Pos[0].OnPos.Pul</t>
  </si>
  <si>
    <t>Instalation_DB.Div1.Pos[0].PosTimer.Tmr.PT</t>
  </si>
  <si>
    <t>Instalation_DB.Div1.Pos[0].PosTimer.Tmr.ET</t>
  </si>
  <si>
    <t>Instalation_DB.Div1.Pos[0].PosTimer.Tmr.IN</t>
  </si>
  <si>
    <t>Instalation_DB.Div1.Pos[0].PosTimer.Tmr.Q</t>
  </si>
  <si>
    <t>Instalation_DB.Div1.Pos[0].PosTimer.Tim</t>
  </si>
  <si>
    <t>Instalation_DB.Div1.Pos[0].Alm.Sig</t>
  </si>
  <si>
    <t>Instalation_DB.Div1.Pos[0].Alm.Mem</t>
  </si>
  <si>
    <t>Instalation_DB.Div1.Pos[0].Alm.Pul</t>
  </si>
  <si>
    <t>Pos[1]</t>
  </si>
  <si>
    <t>Instalation_DB.Div1.Pos[1].OnPos.Sig</t>
  </si>
  <si>
    <t>Instalation_DB.Div1.Pos[1].OnPos.Mem</t>
  </si>
  <si>
    <t>Instalation_DB.Div1.Pos[1].OnPos.Pul</t>
  </si>
  <si>
    <t>Instalation_DB.Div1.Pos[1].PosTimer.Tmr.PT</t>
  </si>
  <si>
    <t>Instalation_DB.Div1.Pos[1].PosTimer.Tmr.ET</t>
  </si>
  <si>
    <t>Instalation_DB.Div1.Pos[1].PosTimer.Tmr.IN</t>
  </si>
  <si>
    <t>Instalation_DB.Div1.Pos[1].PosTimer.Tmr.Q</t>
  </si>
  <si>
    <t>Instalation_DB.Div1.Pos[1].PosTimer.Tim</t>
  </si>
  <si>
    <t>Instalation_DB.Div1.Pos[1].Alm.Sig</t>
  </si>
  <si>
    <t>Instalation_DB.Div1.Pos[1].Alm.Mem</t>
  </si>
  <si>
    <t>Instalation_DB.Div1.Pos[1].Alm.Pul</t>
  </si>
  <si>
    <t>Instalation_DB.Div1.Motor.Dir[0].LimitSwitch</t>
  </si>
  <si>
    <t>Instalation_DB.Div1.Motor.Dir[1].LimitSwitch</t>
  </si>
  <si>
    <t>Instalation_DB.Div1.Motor.ThProt.Alm.Inp</t>
  </si>
  <si>
    <t>Instalation_DB.Div1.Motor.ThProt.Alm.Mem</t>
  </si>
  <si>
    <t>Instalation_DB.Div1.Motor.ThProt.Alm.Pul</t>
  </si>
  <si>
    <t>Instalation_DB.Div1.Pos[0].Interface.Input.Start</t>
  </si>
  <si>
    <t>Instalation_DB.Div1.Pos[0].Interface.Input.Stop</t>
  </si>
  <si>
    <t>Instalation_DB.Div1.Pos[0].Interface.Output.Start</t>
  </si>
  <si>
    <t>Instalation_DB.Div1.Pos[0].Interface.Output.Stop</t>
  </si>
  <si>
    <t>Instalation_DB.Div1.Pos[0].LimitSwitch.Inp</t>
  </si>
  <si>
    <t>Instalation_DB.Div1.Pos[1].Interface.Input.Start</t>
  </si>
  <si>
    <t>Instalation_DB.Div1.Pos[1].Interface.Input.Stop</t>
  </si>
  <si>
    <t>Instalation_DB.Div1.Pos[1].Interface.Output.Start</t>
  </si>
  <si>
    <t>Instalation_DB.Div1.Pos[1].Interface.Output.Stop</t>
  </si>
  <si>
    <t>Instalation_DB.Div1.Pos[1].LimitSwitch.Inp</t>
  </si>
  <si>
    <t>Div1.Pos[0]</t>
  </si>
  <si>
    <t>Belt0.Dir[0]</t>
  </si>
  <si>
    <t>Belt1.Dir[0].Cmd.On</t>
  </si>
  <si>
    <t>Cmd</t>
  </si>
  <si>
    <t>Instalation_DB.Belt1.Dir[0].Cmd.On</t>
  </si>
  <si>
    <t>Instalation_DB.Belt1.Dir[1].Cmd.On</t>
  </si>
  <si>
    <t>Instalation_DB.Belt2.Dir[0].Cmd.On</t>
  </si>
  <si>
    <t>Instalation_DB.Belt2.Dir[1].Cmd.On</t>
  </si>
  <si>
    <t>Instalation_DB.Belt3.Dir[0].Cmd.On</t>
  </si>
  <si>
    <t>Instalation_DB.Belt3.Dir[1].Cmd.On</t>
  </si>
  <si>
    <t>Instalation_DB.Div1.Pos[0].Cmd.MoveTo</t>
  </si>
  <si>
    <t>Instalation_DB.Div1.Pos[1].Cmd.MoveTo</t>
  </si>
  <si>
    <t>Belt0</t>
  </si>
  <si>
    <t>Instalation_DB.Belt0.Dir[0].Interface.Input.Start</t>
  </si>
  <si>
    <t>Instalation_DB.Belt0.Dir[0].Interface.Input.Stop</t>
  </si>
  <si>
    <t>Instalation_DB.Belt0.Dir[0].Interface.Output.Start</t>
  </si>
  <si>
    <t>Instalation_DB.Belt0.Dir[0].Interface.Output.Stop</t>
  </si>
  <si>
    <t>Instalation_DB.Belt0.Dir[0].LimitSwitch.Inp</t>
  </si>
  <si>
    <t>Instalation_DB.Belt0.Dir[0].Status.On</t>
  </si>
  <si>
    <t>Instalation_DB.Belt0.Dir[0].Status.Released</t>
  </si>
  <si>
    <t>Instalation_DB.Belt0.Dir[0].Cmd.On</t>
  </si>
  <si>
    <t>Instalation_DB.Belt0.Dir[0].Drive.Out</t>
  </si>
  <si>
    <t>Instalation_DB.Belt0.Dir[0].MovStart.Tmr.PT</t>
  </si>
  <si>
    <t>Instalation_DB.Belt0.Dir[0].MovStart.Tmr.ET</t>
  </si>
  <si>
    <t>Instalation_DB.Belt0.Dir[0].MovStart.Tmr.IN</t>
  </si>
  <si>
    <t>Instalation_DB.Belt0.Dir[0].MovStart.Tmr.Q</t>
  </si>
  <si>
    <t>Instalation_DB.Belt0.Dir[0].MovStart.Tim</t>
  </si>
  <si>
    <t>Instalation_DB.Belt0.Dir[0].MovStop.Tmr.PT</t>
  </si>
  <si>
    <t>Instalation_DB.Belt0.Dir[0].MovStop.Tmr.ET</t>
  </si>
  <si>
    <t>Instalation_DB.Belt0.Dir[0].MovStop.Tmr.IN</t>
  </si>
  <si>
    <t>Instalation_DB.Belt0.Dir[0].MovStop.Tmr.Q</t>
  </si>
  <si>
    <t>Instalation_DB.Belt0.Dir[0].MovStop.Tim</t>
  </si>
  <si>
    <t>Instalation_DB.Belt0.Dir[1].Interface.Input.Start</t>
  </si>
  <si>
    <t>Instalation_DB.Belt0.Dir[1].Interface.Input.Stop</t>
  </si>
  <si>
    <t>Instalation_DB.Belt0.Dir[1].Interface.Output.Start</t>
  </si>
  <si>
    <t>Instalation_DB.Belt0.Dir[1].Interface.Output.Stop</t>
  </si>
  <si>
    <t>Instalation_DB.Belt0.Dir[1].LimitSwitch.Inp</t>
  </si>
  <si>
    <t>Instalation_DB.Belt0.Dir[1].Status.On</t>
  </si>
  <si>
    <t>Instalation_DB.Belt0.Dir[1].Status.Released</t>
  </si>
  <si>
    <t>Instalation_DB.Belt0.Dir[1].Cmd.On</t>
  </si>
  <si>
    <t>Instalation_DB.Belt0.Dir[1].Drive.Out</t>
  </si>
  <si>
    <t>Instalation_DB.Belt0.Dir[1].MovStart.Tmr.PT</t>
  </si>
  <si>
    <t>Instalation_DB.Belt0.Dir[1].MovStart.Tmr.ET</t>
  </si>
  <si>
    <t>Instalation_DB.Belt0.Dir[1].MovStart.Tmr.IN</t>
  </si>
  <si>
    <t>Instalation_DB.Belt0.Dir[1].MovStart.Tmr.Q</t>
  </si>
  <si>
    <t>Instalation_DB.Belt0.Dir[1].MovStart.Tim</t>
  </si>
  <si>
    <t>Instalation_DB.Belt0.Dir[1].MovStop.Tmr.PT</t>
  </si>
  <si>
    <t>Instalation_DB.Belt0.Dir[1].MovStop.Tmr.ET</t>
  </si>
  <si>
    <t>Instalation_DB.Belt0.Dir[1].MovStop.Tmr.IN</t>
  </si>
  <si>
    <t>Instalation_DB.Belt0.Dir[1].MovStop.Tmr.Q</t>
  </si>
  <si>
    <t>Instalation_DB.Belt0.Dir[1].MovStop.Tim</t>
  </si>
  <si>
    <t>Instalation_DB.Belt0.RotDetector.Start.Sig</t>
  </si>
  <si>
    <t>Instalation_DB.Belt0.RotDetector.Start.Mem</t>
  </si>
  <si>
    <t>Instalation_DB.Belt0.RotDetector.Start.Pul</t>
  </si>
  <si>
    <t>Instalation_DB.Belt0.RotDetector.Detector.Inp</t>
  </si>
  <si>
    <t>Instalation_DB.Belt0.RotDetector.Detector.Mem</t>
  </si>
  <si>
    <t>Instalation_DB.Belt0.RotDetector.Detector.Pul</t>
  </si>
  <si>
    <t>Instalation_DB.Belt0.RotDetector.Clock.Clk</t>
  </si>
  <si>
    <t>Instalation_DB.Belt0.RotDetector.Clock.Mem</t>
  </si>
  <si>
    <t>Instalation_DB.Belt0.RotDetector.Clock.Pul</t>
  </si>
  <si>
    <t>Instalation_DB.Belt0.RotDetector.Opt.WatchControl</t>
  </si>
  <si>
    <t>Instalation_DB.Belt0.RotDetector.StartClockCounter.ActValue</t>
  </si>
  <si>
    <t>Instalation_DB.Belt0.RotDetector.StartClockCounter.ResValue</t>
  </si>
  <si>
    <t>Instalation_DB.Belt0.RotDetector.WatchClockCounter.ActValue</t>
  </si>
  <si>
    <t>Instalation_DB.Belt0.RotDetector.WatchClockCounter.ResValue</t>
  </si>
  <si>
    <t>Instalation_DB.Belt0.RotDetector.StartPulseCounter.ActValue</t>
  </si>
  <si>
    <t>Instalation_DB.Belt0.RotDetector.StartPulseCounter.ResValue</t>
  </si>
  <si>
    <t>Instalation_DB.Belt0.RotDetector.WatchTimeOut.Alm.Sig</t>
  </si>
  <si>
    <t>Instalation_DB.Belt0.RotDetector.WatchTimeOut.Alm.Mem</t>
  </si>
  <si>
    <t>Instalation_DB.Belt0.RotDetector.WatchTimeOut.Alm.Pul</t>
  </si>
  <si>
    <t>Instalation_DB.Belt0.RotDetector.MoveOk</t>
  </si>
  <si>
    <t>Instalation_DB.Belt0.Motor.Dir[0].On</t>
  </si>
  <si>
    <t>Instalation_DB.Belt0.Motor.Dir[1].On</t>
  </si>
  <si>
    <t>Instalation_DB.Belt0.Motor.On</t>
  </si>
  <si>
    <t>Instalation_DB.Belt0.Motor.ThProt.Alm.Inp</t>
  </si>
  <si>
    <t>Instalation_DB.Belt0.Motor.ThProt.Alm.Mem</t>
  </si>
  <si>
    <t>Instalation_DB.Belt0.Motor.ThProt.Alm.Pul</t>
  </si>
  <si>
    <t>Instalation_DB.Belt0.EmergencyStop.Alm.Inp</t>
  </si>
  <si>
    <t>Instalation_DB.Belt0.EmergencyStop.Alm.Mem</t>
  </si>
  <si>
    <t>Instalation_DB.Belt0.EmergencyStop.Alm.Pul</t>
  </si>
  <si>
    <t>Instalation_DB.Belt0.EmergencyStop.Status.Stop</t>
  </si>
  <si>
    <t>Instalation_DB.Belt0.EmergencyStop.Status.RunningForward</t>
  </si>
  <si>
    <t>Instalation_DB.Belt0.EmergencyStop.Status.RunningBackward</t>
  </si>
  <si>
    <t>Instalation_DB.Belt0.EmergencyStop.Status.RunningSlow</t>
  </si>
  <si>
    <t>Instalation_DB.Belt0.EmergencyStop.Status.RunningFast</t>
  </si>
  <si>
    <t>Belt2.Dir[0].Cmd.On</t>
  </si>
  <si>
    <t>Belt3.Dir[0].Cmd.On</t>
  </si>
  <si>
    <t>Belt0.Dir[0].Cmd.On</t>
  </si>
  <si>
    <t>x</t>
  </si>
  <si>
    <t>END_CASE;</t>
  </si>
  <si>
    <t>Div1.Pos[0].Cmd.MoveTo</t>
  </si>
  <si>
    <t>Div1.Pos[1].Cmd.MoveTo</t>
  </si>
  <si>
    <t>CASE WorkingMode OF</t>
  </si>
  <si>
    <t>Instalation_DB.Div1.Motor.Dir[0].Out</t>
  </si>
  <si>
    <t>Instalation_DB.Div1.Motor.Dir[1].Out</t>
  </si>
  <si>
    <t>WorkingMode</t>
  </si>
  <si>
    <t>NOT</t>
  </si>
  <si>
    <t>;</t>
  </si>
  <si>
    <t>AlarmPulse.Sig := FALSE</t>
  </si>
  <si>
    <t>AlarmMem := FALSE</t>
  </si>
  <si>
    <t>END_IF;</t>
  </si>
  <si>
    <t>IF #Lamp.Reset.Pul AND AlarmMem THEN</t>
  </si>
  <si>
    <t>AlarmPulse</t>
  </si>
  <si>
    <t>Alarm Stored</t>
  </si>
  <si>
    <t>Alarm Not Stored</t>
  </si>
  <si>
    <t>%M0.3</t>
  </si>
  <si>
    <t>A0_0</t>
  </si>
  <si>
    <t>A0_1</t>
  </si>
  <si>
    <t>A0_2</t>
  </si>
  <si>
    <t>A0_3</t>
  </si>
  <si>
    <t>A0_4</t>
  </si>
  <si>
    <t>A0_5</t>
  </si>
  <si>
    <t>A0_6</t>
  </si>
  <si>
    <t>A0_7</t>
  </si>
  <si>
    <t>A1_0</t>
  </si>
  <si>
    <t>A1_1</t>
  </si>
  <si>
    <t>E8_0</t>
  </si>
  <si>
    <t>E8_1</t>
  </si>
  <si>
    <t>E8_2</t>
  </si>
  <si>
    <t>E8_3</t>
  </si>
  <si>
    <t>E8_4</t>
  </si>
  <si>
    <t>E8_5</t>
  </si>
  <si>
    <t>E8_6</t>
  </si>
  <si>
    <t>E8_7</t>
  </si>
  <si>
    <t>E9_0</t>
  </si>
  <si>
    <t>E9_1</t>
  </si>
  <si>
    <t>E9_2</t>
  </si>
  <si>
    <t>E9_3</t>
  </si>
  <si>
    <t>E9_4</t>
  </si>
  <si>
    <t>E9_5</t>
  </si>
  <si>
    <t>E9_6</t>
  </si>
  <si>
    <t>E9_7</t>
  </si>
  <si>
    <t>E12_0</t>
  </si>
  <si>
    <t>E12_1</t>
  </si>
  <si>
    <t>E12_2</t>
  </si>
  <si>
    <t>E12_3</t>
  </si>
  <si>
    <t>E12_4</t>
  </si>
  <si>
    <t>E12_5</t>
  </si>
  <si>
    <t>E12_6</t>
  </si>
  <si>
    <t>E12_7</t>
  </si>
  <si>
    <t>E13_0</t>
  </si>
  <si>
    <t>E13_1</t>
  </si>
  <si>
    <t>E13_2</t>
  </si>
  <si>
    <t>E13_3</t>
  </si>
  <si>
    <t>E13_4</t>
  </si>
  <si>
    <t>E13_5</t>
  </si>
  <si>
    <t>E13_6</t>
  </si>
  <si>
    <t>E13_7</t>
  </si>
  <si>
    <t>s</t>
  </si>
  <si>
    <t>#Dir[n].Cmd.On</t>
  </si>
  <si>
    <t>Cmd.MoveTo</t>
  </si>
  <si>
    <t>#Pos[n].Cmd.MoveTo := False</t>
  </si>
  <si>
    <t>#Pos[#DirBackWard].Cmd.MoveTo</t>
  </si>
  <si>
    <t>#Pos[#DirForWard].Cmd.MoveTo</t>
  </si>
  <si>
    <t>#Pos[n].Cmd.MoveTo AND #Pos[n].OnPos.Sig</t>
  </si>
  <si>
    <t>Wm_Stop</t>
  </si>
  <si>
    <t>Wm_Production</t>
  </si>
  <si>
    <t>Wm_Drop</t>
  </si>
  <si>
    <t>True</t>
  </si>
  <si>
    <t>Div1.Pos[1]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</si>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</sst>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2" xfId="0" applyFont="1" applyBorder="1"/>
    <xf numFmtId="0" fontId="0" fillId="0" borderId="2" xfId="0" quotePrefix="1" applyBorder="1"/>
    <xf numFmtId="0" fontId="0" fillId="0" borderId="2" xfId="0" applyBorder="1"/>
    <xf numFmtId="0" fontId="3" fillId="0" borderId="1" xfId="0" applyFont="1" applyBorder="1"/>
    <xf numFmtId="0" fontId="4" fillId="0" borderId="1" xfId="0" applyFont="1" applyBorder="1"/>
    <xf numFmtId="0" fontId="1" fillId="0" borderId="0" xfId="0" applyFont="1" applyAlignment="1">
      <alignment textRotation="90"/>
    </xf>
    <xf numFmtId="0" fontId="0" fillId="0" borderId="0" xfId="0" applyAlignment="1">
      <alignment textRotation="90"/>
    </xf>
    <xf numFmtId="10" fontId="0" fillId="0" borderId="0" xfId="0" applyNumberFormat="1"/>
    <xf numFmtId="0" fontId="0" fillId="0" borderId="0" xfId="0" quotePrefix="1"/>
    <xf numFmtId="0" fontId="0" fillId="2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36EA2D7-EA0B-4136-AD04-1A2E04CB3CE9}" type="doc">
      <dgm:prSet loTypeId="urn:microsoft.com/office/officeart/2005/8/layout/process1" loCatId="process" qsTypeId="urn:microsoft.com/office/officeart/2005/8/quickstyle/3d3" qsCatId="3D" csTypeId="urn:microsoft.com/office/officeart/2005/8/colors/accent1_2" csCatId="accent1" phldr="1"/>
      <dgm:spPr/>
    </dgm:pt>
    <dgm:pt modelId="{29CA8A68-11E9-49CC-ACD4-5B7899E0B5BE}">
      <dgm:prSet phldrT="[Text]"/>
      <dgm:spPr/>
      <dgm:t>
        <a:bodyPr/>
        <a:lstStyle/>
        <a:p>
          <a:r>
            <a:rPr lang="en-US"/>
            <a:t>Belt1</a:t>
          </a:r>
        </a:p>
      </dgm:t>
    </dgm:pt>
    <dgm:pt modelId="{29E35E59-93F0-4EB5-9B91-1BAAC27A7AB3}" type="parTrans" cxnId="{7AAEA23D-6093-4996-9338-DCF0B53380CC}">
      <dgm:prSet/>
      <dgm:spPr/>
      <dgm:t>
        <a:bodyPr/>
        <a:lstStyle/>
        <a:p>
          <a:endParaRPr lang="en-US"/>
        </a:p>
      </dgm:t>
    </dgm:pt>
    <dgm:pt modelId="{50AB28FD-4844-402B-B7A6-2C4A24395F35}" type="sibTrans" cxnId="{7AAEA23D-6093-4996-9338-DCF0B53380CC}">
      <dgm:prSet/>
      <dgm:spPr/>
      <dgm:t>
        <a:bodyPr/>
        <a:lstStyle/>
        <a:p>
          <a:endParaRPr lang="en-US"/>
        </a:p>
      </dgm:t>
    </dgm:pt>
    <dgm:pt modelId="{D2ADB5ED-F3A7-4778-BE89-3AAC98966CC4}">
      <dgm:prSet phldrT="[Text]"/>
      <dgm:spPr/>
      <dgm:t>
        <a:bodyPr/>
        <a:lstStyle/>
        <a:p>
          <a:r>
            <a:rPr lang="en-US"/>
            <a:t>Belt2</a:t>
          </a:r>
        </a:p>
      </dgm:t>
    </dgm:pt>
    <dgm:pt modelId="{FE5ED0E1-1DED-4422-977A-FAFB7FF84B3E}" type="parTrans" cxnId="{DB1AA92E-C58C-4D26-8E0A-C6FCB2D62811}">
      <dgm:prSet/>
      <dgm:spPr/>
      <dgm:t>
        <a:bodyPr/>
        <a:lstStyle/>
        <a:p>
          <a:endParaRPr lang="en-US"/>
        </a:p>
      </dgm:t>
    </dgm:pt>
    <dgm:pt modelId="{C3DAAAA1-3352-4A2B-AD94-4B87668CD305}" type="sibTrans" cxnId="{DB1AA92E-C58C-4D26-8E0A-C6FCB2D62811}">
      <dgm:prSet/>
      <dgm:spPr/>
      <dgm:t>
        <a:bodyPr/>
        <a:lstStyle/>
        <a:p>
          <a:endParaRPr lang="en-US"/>
        </a:p>
      </dgm:t>
    </dgm:pt>
    <dgm:pt modelId="{F5BF3A89-3F4B-43DD-80C7-211EC7E8F5E0}">
      <dgm:prSet phldrT="[Text]"/>
      <dgm:spPr/>
      <dgm:t>
        <a:bodyPr/>
        <a:lstStyle/>
        <a:p>
          <a:r>
            <a:rPr lang="en-US"/>
            <a:t>Belt3</a:t>
          </a:r>
        </a:p>
      </dgm:t>
    </dgm:pt>
    <dgm:pt modelId="{4451AF14-0EA0-4175-B83F-6D610C72A175}" type="parTrans" cxnId="{92C8BA1B-73BB-4CBC-B025-EAB411AA395C}">
      <dgm:prSet/>
      <dgm:spPr/>
      <dgm:t>
        <a:bodyPr/>
        <a:lstStyle/>
        <a:p>
          <a:endParaRPr lang="en-US"/>
        </a:p>
      </dgm:t>
    </dgm:pt>
    <dgm:pt modelId="{3B7E272D-CB86-422E-9DBB-E7F256721100}" type="sibTrans" cxnId="{92C8BA1B-73BB-4CBC-B025-EAB411AA395C}">
      <dgm:prSet/>
      <dgm:spPr/>
      <dgm:t>
        <a:bodyPr/>
        <a:lstStyle/>
        <a:p>
          <a:endParaRPr lang="en-US"/>
        </a:p>
      </dgm:t>
    </dgm:pt>
    <dgm:pt modelId="{8FE683D1-862E-4290-B49F-FBD2DC342170}" type="pres">
      <dgm:prSet presAssocID="{C36EA2D7-EA0B-4136-AD04-1A2E04CB3CE9}" presName="Name0" presStyleCnt="0">
        <dgm:presLayoutVars>
          <dgm:dir/>
          <dgm:resizeHandles val="exact"/>
        </dgm:presLayoutVars>
      </dgm:prSet>
      <dgm:spPr/>
    </dgm:pt>
    <dgm:pt modelId="{44C81354-CE14-4B0E-98A7-A22C3F37F30C}" type="pres">
      <dgm:prSet presAssocID="{29CA8A68-11E9-49CC-ACD4-5B7899E0B5BE}" presName="node" presStyleLbl="node1" presStyleIdx="0" presStyleCnt="3">
        <dgm:presLayoutVars>
          <dgm:bulletEnabled val="1"/>
        </dgm:presLayoutVars>
      </dgm:prSet>
      <dgm:spPr/>
    </dgm:pt>
    <dgm:pt modelId="{4A047BA2-D26A-41E6-B2EF-4E2E139BDE60}" type="pres">
      <dgm:prSet presAssocID="{50AB28FD-4844-402B-B7A6-2C4A24395F35}" presName="sibTrans" presStyleLbl="sibTrans2D1" presStyleIdx="0" presStyleCnt="2"/>
      <dgm:spPr/>
    </dgm:pt>
    <dgm:pt modelId="{DB0412A1-3216-4145-BC7B-503BC48AEF30}" type="pres">
      <dgm:prSet presAssocID="{50AB28FD-4844-402B-B7A6-2C4A24395F35}" presName="connectorText" presStyleLbl="sibTrans2D1" presStyleIdx="0" presStyleCnt="2"/>
      <dgm:spPr/>
    </dgm:pt>
    <dgm:pt modelId="{C693C65A-1695-42FE-98FD-1829D6D072BA}" type="pres">
      <dgm:prSet presAssocID="{D2ADB5ED-F3A7-4778-BE89-3AAC98966CC4}" presName="node" presStyleLbl="node1" presStyleIdx="1" presStyleCnt="3">
        <dgm:presLayoutVars>
          <dgm:bulletEnabled val="1"/>
        </dgm:presLayoutVars>
      </dgm:prSet>
      <dgm:spPr/>
    </dgm:pt>
    <dgm:pt modelId="{117652D2-884C-4025-95AB-50253F036FE3}" type="pres">
      <dgm:prSet presAssocID="{C3DAAAA1-3352-4A2B-AD94-4B87668CD305}" presName="sibTrans" presStyleLbl="sibTrans2D1" presStyleIdx="1" presStyleCnt="2"/>
      <dgm:spPr/>
    </dgm:pt>
    <dgm:pt modelId="{65643D53-27ED-418B-945F-490119963EE0}" type="pres">
      <dgm:prSet presAssocID="{C3DAAAA1-3352-4A2B-AD94-4B87668CD305}" presName="connectorText" presStyleLbl="sibTrans2D1" presStyleIdx="1" presStyleCnt="2"/>
      <dgm:spPr/>
    </dgm:pt>
    <dgm:pt modelId="{242DE9A1-A8A2-485C-9DC5-1FF58D743AD4}" type="pres">
      <dgm:prSet presAssocID="{F5BF3A89-3F4B-43DD-80C7-211EC7E8F5E0}" presName="node" presStyleLbl="node1" presStyleIdx="2" presStyleCnt="3">
        <dgm:presLayoutVars>
          <dgm:bulletEnabled val="1"/>
        </dgm:presLayoutVars>
      </dgm:prSet>
      <dgm:spPr/>
    </dgm:pt>
  </dgm:ptLst>
  <dgm:cxnLst>
    <dgm:cxn modelId="{86F6A003-688E-4BDB-A3B5-0ECB4719F518}" type="presOf" srcId="{50AB28FD-4844-402B-B7A6-2C4A24395F35}" destId="{DB0412A1-3216-4145-BC7B-503BC48AEF30}" srcOrd="1" destOrd="0" presId="urn:microsoft.com/office/officeart/2005/8/layout/process1"/>
    <dgm:cxn modelId="{4BA31414-48AB-49E4-B6FD-4D4D290E6CFF}" type="presOf" srcId="{C36EA2D7-EA0B-4136-AD04-1A2E04CB3CE9}" destId="{8FE683D1-862E-4290-B49F-FBD2DC342170}" srcOrd="0" destOrd="0" presId="urn:microsoft.com/office/officeart/2005/8/layout/process1"/>
    <dgm:cxn modelId="{92C8BA1B-73BB-4CBC-B025-EAB411AA395C}" srcId="{C36EA2D7-EA0B-4136-AD04-1A2E04CB3CE9}" destId="{F5BF3A89-3F4B-43DD-80C7-211EC7E8F5E0}" srcOrd="2" destOrd="0" parTransId="{4451AF14-0EA0-4175-B83F-6D610C72A175}" sibTransId="{3B7E272D-CB86-422E-9DBB-E7F256721100}"/>
    <dgm:cxn modelId="{DB1AA92E-C58C-4D26-8E0A-C6FCB2D62811}" srcId="{C36EA2D7-EA0B-4136-AD04-1A2E04CB3CE9}" destId="{D2ADB5ED-F3A7-4778-BE89-3AAC98966CC4}" srcOrd="1" destOrd="0" parTransId="{FE5ED0E1-1DED-4422-977A-FAFB7FF84B3E}" sibTransId="{C3DAAAA1-3352-4A2B-AD94-4B87668CD305}"/>
    <dgm:cxn modelId="{7AAEA23D-6093-4996-9338-DCF0B53380CC}" srcId="{C36EA2D7-EA0B-4136-AD04-1A2E04CB3CE9}" destId="{29CA8A68-11E9-49CC-ACD4-5B7899E0B5BE}" srcOrd="0" destOrd="0" parTransId="{29E35E59-93F0-4EB5-9B91-1BAAC27A7AB3}" sibTransId="{50AB28FD-4844-402B-B7A6-2C4A24395F35}"/>
    <dgm:cxn modelId="{11646A3E-9993-407D-A632-2C656F36090A}" type="presOf" srcId="{50AB28FD-4844-402B-B7A6-2C4A24395F35}" destId="{4A047BA2-D26A-41E6-B2EF-4E2E139BDE60}" srcOrd="0" destOrd="0" presId="urn:microsoft.com/office/officeart/2005/8/layout/process1"/>
    <dgm:cxn modelId="{FC5A0F50-893C-4182-BB24-BC2F6C86368B}" type="presOf" srcId="{29CA8A68-11E9-49CC-ACD4-5B7899E0B5BE}" destId="{44C81354-CE14-4B0E-98A7-A22C3F37F30C}" srcOrd="0" destOrd="0" presId="urn:microsoft.com/office/officeart/2005/8/layout/process1"/>
    <dgm:cxn modelId="{477AC158-95D0-45D5-B2D0-04E837F1C20F}" type="presOf" srcId="{C3DAAAA1-3352-4A2B-AD94-4B87668CD305}" destId="{117652D2-884C-4025-95AB-50253F036FE3}" srcOrd="0" destOrd="0" presId="urn:microsoft.com/office/officeart/2005/8/layout/process1"/>
    <dgm:cxn modelId="{E2D47497-4C11-451B-B65F-B73ADE333443}" type="presOf" srcId="{F5BF3A89-3F4B-43DD-80C7-211EC7E8F5E0}" destId="{242DE9A1-A8A2-485C-9DC5-1FF58D743AD4}" srcOrd="0" destOrd="0" presId="urn:microsoft.com/office/officeart/2005/8/layout/process1"/>
    <dgm:cxn modelId="{51A12CB9-9DDF-49E7-9A72-6473352A270B}" type="presOf" srcId="{C3DAAAA1-3352-4A2B-AD94-4B87668CD305}" destId="{65643D53-27ED-418B-945F-490119963EE0}" srcOrd="1" destOrd="0" presId="urn:microsoft.com/office/officeart/2005/8/layout/process1"/>
    <dgm:cxn modelId="{AD87A0FD-564A-4F70-B6BD-CDC8CDA5D0B5}" type="presOf" srcId="{D2ADB5ED-F3A7-4778-BE89-3AAC98966CC4}" destId="{C693C65A-1695-42FE-98FD-1829D6D072BA}" srcOrd="0" destOrd="0" presId="urn:microsoft.com/office/officeart/2005/8/layout/process1"/>
    <dgm:cxn modelId="{2AF53CB4-E755-4A76-8F66-B5473359D024}" type="presParOf" srcId="{8FE683D1-862E-4290-B49F-FBD2DC342170}" destId="{44C81354-CE14-4B0E-98A7-A22C3F37F30C}" srcOrd="0" destOrd="0" presId="urn:microsoft.com/office/officeart/2005/8/layout/process1"/>
    <dgm:cxn modelId="{B80DDE8B-81BF-4429-AC79-73878497EF3A}" type="presParOf" srcId="{8FE683D1-862E-4290-B49F-FBD2DC342170}" destId="{4A047BA2-D26A-41E6-B2EF-4E2E139BDE60}" srcOrd="1" destOrd="0" presId="urn:microsoft.com/office/officeart/2005/8/layout/process1"/>
    <dgm:cxn modelId="{0A48E944-4A55-4888-B6B3-8D6DC8A5FB55}" type="presParOf" srcId="{4A047BA2-D26A-41E6-B2EF-4E2E139BDE60}" destId="{DB0412A1-3216-4145-BC7B-503BC48AEF30}" srcOrd="0" destOrd="0" presId="urn:microsoft.com/office/officeart/2005/8/layout/process1"/>
    <dgm:cxn modelId="{4BFF8586-1547-4789-8537-A2220E9B3B3E}" type="presParOf" srcId="{8FE683D1-862E-4290-B49F-FBD2DC342170}" destId="{C693C65A-1695-42FE-98FD-1829D6D072BA}" srcOrd="2" destOrd="0" presId="urn:microsoft.com/office/officeart/2005/8/layout/process1"/>
    <dgm:cxn modelId="{60A2BF6B-021C-4D83-9DD1-8072E838C5A1}" type="presParOf" srcId="{8FE683D1-862E-4290-B49F-FBD2DC342170}" destId="{117652D2-884C-4025-95AB-50253F036FE3}" srcOrd="3" destOrd="0" presId="urn:microsoft.com/office/officeart/2005/8/layout/process1"/>
    <dgm:cxn modelId="{CF40E01B-6137-4154-A874-7890CDA02885}" type="presParOf" srcId="{117652D2-884C-4025-95AB-50253F036FE3}" destId="{65643D53-27ED-418B-945F-490119963EE0}" srcOrd="0" destOrd="0" presId="urn:microsoft.com/office/officeart/2005/8/layout/process1"/>
    <dgm:cxn modelId="{21300D50-C4BF-4B71-966E-DF0F61EEE56B}" type="presParOf" srcId="{8FE683D1-862E-4290-B49F-FBD2DC342170}" destId="{242DE9A1-A8A2-485C-9DC5-1FF58D743AD4}" srcOrd="4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36EA2D7-EA0B-4136-AD04-1A2E04CB3CE9}" type="doc">
      <dgm:prSet loTypeId="urn:microsoft.com/office/officeart/2005/8/layout/process1" loCatId="process" qsTypeId="urn:microsoft.com/office/officeart/2005/8/quickstyle/3d3" qsCatId="3D" csTypeId="urn:microsoft.com/office/officeart/2005/8/colors/accent1_2" csCatId="accent1" phldr="1"/>
      <dgm:spPr/>
    </dgm:pt>
    <dgm:pt modelId="{29CA8A68-11E9-49CC-ACD4-5B7899E0B5BE}">
      <dgm:prSet phldrT="[Text]"/>
      <dgm:spPr/>
      <dgm:t>
        <a:bodyPr/>
        <a:lstStyle/>
        <a:p>
          <a:r>
            <a:rPr lang="en-US"/>
            <a:t>Belt0</a:t>
          </a:r>
        </a:p>
      </dgm:t>
    </dgm:pt>
    <dgm:pt modelId="{29E35E59-93F0-4EB5-9B91-1BAAC27A7AB3}" type="parTrans" cxnId="{7AAEA23D-6093-4996-9338-DCF0B53380CC}">
      <dgm:prSet/>
      <dgm:spPr/>
      <dgm:t>
        <a:bodyPr/>
        <a:lstStyle/>
        <a:p>
          <a:endParaRPr lang="en-US"/>
        </a:p>
      </dgm:t>
    </dgm:pt>
    <dgm:pt modelId="{50AB28FD-4844-402B-B7A6-2C4A24395F35}" type="sibTrans" cxnId="{7AAEA23D-6093-4996-9338-DCF0B53380CC}">
      <dgm:prSet/>
      <dgm:spPr/>
      <dgm:t>
        <a:bodyPr/>
        <a:lstStyle/>
        <a:p>
          <a:endParaRPr lang="en-US"/>
        </a:p>
      </dgm:t>
    </dgm:pt>
    <dgm:pt modelId="{8FE683D1-862E-4290-B49F-FBD2DC342170}" type="pres">
      <dgm:prSet presAssocID="{C36EA2D7-EA0B-4136-AD04-1A2E04CB3CE9}" presName="Name0" presStyleCnt="0">
        <dgm:presLayoutVars>
          <dgm:dir/>
          <dgm:resizeHandles val="exact"/>
        </dgm:presLayoutVars>
      </dgm:prSet>
      <dgm:spPr/>
    </dgm:pt>
    <dgm:pt modelId="{44C81354-CE14-4B0E-98A7-A22C3F37F30C}" type="pres">
      <dgm:prSet presAssocID="{29CA8A68-11E9-49CC-ACD4-5B7899E0B5BE}" presName="node" presStyleLbl="node1" presStyleIdx="0" presStyleCnt="1" custLinFactX="40788" custLinFactNeighborX="100000" custLinFactNeighborY="13725">
        <dgm:presLayoutVars>
          <dgm:bulletEnabled val="1"/>
        </dgm:presLayoutVars>
      </dgm:prSet>
      <dgm:spPr/>
    </dgm:pt>
  </dgm:ptLst>
  <dgm:cxnLst>
    <dgm:cxn modelId="{4BA31414-48AB-49E4-B6FD-4D4D290E6CFF}" type="presOf" srcId="{C36EA2D7-EA0B-4136-AD04-1A2E04CB3CE9}" destId="{8FE683D1-862E-4290-B49F-FBD2DC342170}" srcOrd="0" destOrd="0" presId="urn:microsoft.com/office/officeart/2005/8/layout/process1"/>
    <dgm:cxn modelId="{7AAEA23D-6093-4996-9338-DCF0B53380CC}" srcId="{C36EA2D7-EA0B-4136-AD04-1A2E04CB3CE9}" destId="{29CA8A68-11E9-49CC-ACD4-5B7899E0B5BE}" srcOrd="0" destOrd="0" parTransId="{29E35E59-93F0-4EB5-9B91-1BAAC27A7AB3}" sibTransId="{50AB28FD-4844-402B-B7A6-2C4A24395F35}"/>
    <dgm:cxn modelId="{FC5A0F50-893C-4182-BB24-BC2F6C86368B}" type="presOf" srcId="{29CA8A68-11E9-49CC-ACD4-5B7899E0B5BE}" destId="{44C81354-CE14-4B0E-98A7-A22C3F37F30C}" srcOrd="0" destOrd="0" presId="urn:microsoft.com/office/officeart/2005/8/layout/process1"/>
    <dgm:cxn modelId="{2AF53CB4-E755-4A76-8F66-B5473359D024}" type="presParOf" srcId="{8FE683D1-862E-4290-B49F-FBD2DC342170}" destId="{44C81354-CE14-4B0E-98A7-A22C3F37F30C}" srcOrd="0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27CB3CE-2ADD-48A2-8760-4D4690C8A9BA}" type="doc">
      <dgm:prSet loTypeId="urn:microsoft.com/office/officeart/2005/8/layout/funnel1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AF14DB41-B0BF-472F-97CC-B0473D03F3B1}">
      <dgm:prSet phldrT="[Text]"/>
      <dgm:spPr/>
      <dgm:t>
        <a:bodyPr/>
        <a:lstStyle/>
        <a:p>
          <a:r>
            <a:rPr lang="en-US"/>
            <a:t>Drop1</a:t>
          </a:r>
        </a:p>
      </dgm:t>
    </dgm:pt>
    <dgm:pt modelId="{3FD539A3-787D-424C-BD42-F6B538EAB9AF}" type="parTrans" cxnId="{BEFF335F-4484-492B-8A84-9BA02779E83E}">
      <dgm:prSet/>
      <dgm:spPr/>
      <dgm:t>
        <a:bodyPr/>
        <a:lstStyle/>
        <a:p>
          <a:endParaRPr lang="en-US"/>
        </a:p>
      </dgm:t>
    </dgm:pt>
    <dgm:pt modelId="{DFA39CD1-80A8-4C6A-B434-14514AED65B0}" type="sibTrans" cxnId="{BEFF335F-4484-492B-8A84-9BA02779E83E}">
      <dgm:prSet/>
      <dgm:spPr/>
      <dgm:t>
        <a:bodyPr/>
        <a:lstStyle/>
        <a:p>
          <a:endParaRPr lang="en-US"/>
        </a:p>
      </dgm:t>
    </dgm:pt>
    <dgm:pt modelId="{1C34F895-F46F-42F7-9551-3A88DD6F8928}" type="pres">
      <dgm:prSet presAssocID="{A27CB3CE-2ADD-48A2-8760-4D4690C8A9BA}" presName="Name0" presStyleCnt="0">
        <dgm:presLayoutVars>
          <dgm:chMax val="4"/>
          <dgm:resizeHandles val="exact"/>
        </dgm:presLayoutVars>
      </dgm:prSet>
      <dgm:spPr/>
    </dgm:pt>
    <dgm:pt modelId="{958C1167-C568-40CA-BB8A-670CE99AE6EF}" type="pres">
      <dgm:prSet presAssocID="{A27CB3CE-2ADD-48A2-8760-4D4690C8A9BA}" presName="ellipse" presStyleLbl="trBgShp" presStyleIdx="0" presStyleCnt="1"/>
      <dgm:spPr/>
    </dgm:pt>
    <dgm:pt modelId="{93D9C0DD-3143-4E6A-8C57-9AA4FFE6789A}" type="pres">
      <dgm:prSet presAssocID="{A27CB3CE-2ADD-48A2-8760-4D4690C8A9BA}" presName="arrow1" presStyleLbl="fgShp" presStyleIdx="0" presStyleCnt="1"/>
      <dgm:spPr/>
    </dgm:pt>
    <dgm:pt modelId="{147D2C7D-7767-4131-8F5F-F82A1F8A01F0}" type="pres">
      <dgm:prSet presAssocID="{A27CB3CE-2ADD-48A2-8760-4D4690C8A9BA}" presName="rectangle" presStyleLbl="revTx" presStyleIdx="0" presStyleCnt="1">
        <dgm:presLayoutVars>
          <dgm:bulletEnabled val="1"/>
        </dgm:presLayoutVars>
      </dgm:prSet>
      <dgm:spPr/>
    </dgm:pt>
    <dgm:pt modelId="{B7AA6471-4393-44D2-A88C-5BC05B4543AF}" type="pres">
      <dgm:prSet presAssocID="{A27CB3CE-2ADD-48A2-8760-4D4690C8A9BA}" presName="funnel" presStyleLbl="trAlignAcc1" presStyleIdx="0" presStyleCnt="1" custLinFactNeighborX="-1587" custLinFactNeighborY="4464"/>
      <dgm:spPr/>
    </dgm:pt>
  </dgm:ptLst>
  <dgm:cxnLst>
    <dgm:cxn modelId="{BEFF335F-4484-492B-8A84-9BA02779E83E}" srcId="{A27CB3CE-2ADD-48A2-8760-4D4690C8A9BA}" destId="{AF14DB41-B0BF-472F-97CC-B0473D03F3B1}" srcOrd="0" destOrd="0" parTransId="{3FD539A3-787D-424C-BD42-F6B538EAB9AF}" sibTransId="{DFA39CD1-80A8-4C6A-B434-14514AED65B0}"/>
    <dgm:cxn modelId="{B782B9A2-C4A1-472A-A88D-42A6E34F41FA}" type="presOf" srcId="{AF14DB41-B0BF-472F-97CC-B0473D03F3B1}" destId="{147D2C7D-7767-4131-8F5F-F82A1F8A01F0}" srcOrd="0" destOrd="0" presId="urn:microsoft.com/office/officeart/2005/8/layout/funnel1"/>
    <dgm:cxn modelId="{1E617DD6-F305-41D9-BACD-2A9EFA7FD2B5}" type="presOf" srcId="{A27CB3CE-2ADD-48A2-8760-4D4690C8A9BA}" destId="{1C34F895-F46F-42F7-9551-3A88DD6F8928}" srcOrd="0" destOrd="0" presId="urn:microsoft.com/office/officeart/2005/8/layout/funnel1"/>
    <dgm:cxn modelId="{1EC2E33C-A3C5-4B24-AB8D-1D681F32945D}" type="presParOf" srcId="{1C34F895-F46F-42F7-9551-3A88DD6F8928}" destId="{958C1167-C568-40CA-BB8A-670CE99AE6EF}" srcOrd="0" destOrd="0" presId="urn:microsoft.com/office/officeart/2005/8/layout/funnel1"/>
    <dgm:cxn modelId="{B70E59AB-74C3-454B-A926-745B93359547}" type="presParOf" srcId="{1C34F895-F46F-42F7-9551-3A88DD6F8928}" destId="{93D9C0DD-3143-4E6A-8C57-9AA4FFE6789A}" srcOrd="1" destOrd="0" presId="urn:microsoft.com/office/officeart/2005/8/layout/funnel1"/>
    <dgm:cxn modelId="{00F9EC43-7ACA-405A-89D2-09241E87C599}" type="presParOf" srcId="{1C34F895-F46F-42F7-9551-3A88DD6F8928}" destId="{147D2C7D-7767-4131-8F5F-F82A1F8A01F0}" srcOrd="2" destOrd="0" presId="urn:microsoft.com/office/officeart/2005/8/layout/funnel1"/>
    <dgm:cxn modelId="{BAD313E7-B9B8-40B4-8276-683DC1C02AA0}" type="presParOf" srcId="{1C34F895-F46F-42F7-9551-3A88DD6F8928}" destId="{B7AA6471-4393-44D2-A88C-5BC05B4543AF}" srcOrd="3" destOrd="0" presId="urn:microsoft.com/office/officeart/2005/8/layout/funnel1"/>
  </dgm:cxnLst>
  <dgm:bg/>
  <dgm:whole/>
  <dgm:extLst>
    <a:ext uri="http://schemas.microsoft.com/office/drawing/2008/diagram">
      <dsp:dataModelExt xmlns:dsp="http://schemas.microsoft.com/office/drawing/2008/diagram" relId="rId1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4C81354-CE14-4B0E-98A7-A22C3F37F30C}">
      <dsp:nvSpPr>
        <dsp:cNvPr id="0" name=""/>
        <dsp:cNvSpPr/>
      </dsp:nvSpPr>
      <dsp:spPr>
        <a:xfrm>
          <a:off x="2983" y="404136"/>
          <a:ext cx="891746" cy="53504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7630" tIns="87630" rIns="87630" bIns="8763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300" kern="1200"/>
            <a:t>Belt1</a:t>
          </a:r>
        </a:p>
      </dsp:txBody>
      <dsp:txXfrm>
        <a:off x="18654" y="419807"/>
        <a:ext cx="860404" cy="503705"/>
      </dsp:txXfrm>
    </dsp:sp>
    <dsp:sp modelId="{4A047BA2-D26A-41E6-B2EF-4E2E139BDE60}">
      <dsp:nvSpPr>
        <dsp:cNvPr id="0" name=""/>
        <dsp:cNvSpPr/>
      </dsp:nvSpPr>
      <dsp:spPr>
        <a:xfrm>
          <a:off x="983904" y="561083"/>
          <a:ext cx="189050" cy="221153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82000"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900" kern="1200"/>
        </a:p>
      </dsp:txBody>
      <dsp:txXfrm>
        <a:off x="983904" y="605314"/>
        <a:ext cx="132335" cy="132691"/>
      </dsp:txXfrm>
    </dsp:sp>
    <dsp:sp modelId="{C693C65A-1695-42FE-98FD-1829D6D072BA}">
      <dsp:nvSpPr>
        <dsp:cNvPr id="0" name=""/>
        <dsp:cNvSpPr/>
      </dsp:nvSpPr>
      <dsp:spPr>
        <a:xfrm>
          <a:off x="1251428" y="404136"/>
          <a:ext cx="891746" cy="53504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7630" tIns="87630" rIns="87630" bIns="8763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300" kern="1200"/>
            <a:t>Belt2</a:t>
          </a:r>
        </a:p>
      </dsp:txBody>
      <dsp:txXfrm>
        <a:off x="1267099" y="419807"/>
        <a:ext cx="860404" cy="503705"/>
      </dsp:txXfrm>
    </dsp:sp>
    <dsp:sp modelId="{117652D2-884C-4025-95AB-50253F036FE3}">
      <dsp:nvSpPr>
        <dsp:cNvPr id="0" name=""/>
        <dsp:cNvSpPr/>
      </dsp:nvSpPr>
      <dsp:spPr>
        <a:xfrm>
          <a:off x="2232349" y="561083"/>
          <a:ext cx="189050" cy="221153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82000"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900" kern="1200"/>
        </a:p>
      </dsp:txBody>
      <dsp:txXfrm>
        <a:off x="2232349" y="605314"/>
        <a:ext cx="132335" cy="132691"/>
      </dsp:txXfrm>
    </dsp:sp>
    <dsp:sp modelId="{242DE9A1-A8A2-485C-9DC5-1FF58D743AD4}">
      <dsp:nvSpPr>
        <dsp:cNvPr id="0" name=""/>
        <dsp:cNvSpPr/>
      </dsp:nvSpPr>
      <dsp:spPr>
        <a:xfrm>
          <a:off x="2499873" y="404136"/>
          <a:ext cx="891746" cy="53504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7630" tIns="87630" rIns="87630" bIns="8763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300" kern="1200"/>
            <a:t>Belt3</a:t>
          </a:r>
        </a:p>
      </dsp:txBody>
      <dsp:txXfrm>
        <a:off x="2515544" y="419807"/>
        <a:ext cx="860404" cy="503705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4C81354-CE14-4B0E-98A7-A22C3F37F30C}">
      <dsp:nvSpPr>
        <dsp:cNvPr id="0" name=""/>
        <dsp:cNvSpPr/>
      </dsp:nvSpPr>
      <dsp:spPr>
        <a:xfrm>
          <a:off x="1331" y="0"/>
          <a:ext cx="1362132" cy="649061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06680" tIns="106680" rIns="106680" bIns="106680" numCol="1" spcCol="1270" anchor="ctr" anchorCtr="0">
          <a:noAutofit/>
        </a:bodyPr>
        <a:lstStyle/>
        <a:p>
          <a:pPr marL="0" lvl="0" indent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800" kern="1200"/>
            <a:t>Belt0</a:t>
          </a:r>
        </a:p>
      </dsp:txBody>
      <dsp:txXfrm>
        <a:off x="20341" y="19010"/>
        <a:ext cx="1324112" cy="611041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58C1167-C568-40CA-BB8A-670CE99AE6EF}">
      <dsp:nvSpPr>
        <dsp:cNvPr id="0" name=""/>
        <dsp:cNvSpPr/>
      </dsp:nvSpPr>
      <dsp:spPr>
        <a:xfrm>
          <a:off x="1301365" y="79362"/>
          <a:ext cx="1575045" cy="546992"/>
        </a:xfrm>
        <a:prstGeom prst="ellipse">
          <a:avLst/>
        </a:prstGeom>
        <a:solidFill>
          <a:schemeClr val="accent1">
            <a:tint val="50000"/>
            <a:alpha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93D9C0DD-3143-4E6A-8C57-9AA4FFE6789A}">
      <dsp:nvSpPr>
        <dsp:cNvPr id="0" name=""/>
        <dsp:cNvSpPr/>
      </dsp:nvSpPr>
      <dsp:spPr>
        <a:xfrm>
          <a:off x="1938709" y="1418762"/>
          <a:ext cx="305241" cy="195354"/>
        </a:xfrm>
        <a:prstGeom prst="downArrow">
          <a:avLst/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47D2C7D-7767-4131-8F5F-F82A1F8A01F0}">
      <dsp:nvSpPr>
        <dsp:cNvPr id="0" name=""/>
        <dsp:cNvSpPr/>
      </dsp:nvSpPr>
      <dsp:spPr>
        <a:xfrm>
          <a:off x="1358751" y="1575045"/>
          <a:ext cx="1465158" cy="36628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Drop1</a:t>
          </a:r>
        </a:p>
      </dsp:txBody>
      <dsp:txXfrm>
        <a:off x="1358751" y="1575045"/>
        <a:ext cx="1465158" cy="366289"/>
      </dsp:txXfrm>
    </dsp:sp>
    <dsp:sp modelId="{B7AA6471-4393-44D2-A88C-5BC05B4543AF}">
      <dsp:nvSpPr>
        <dsp:cNvPr id="0" name=""/>
        <dsp:cNvSpPr/>
      </dsp:nvSpPr>
      <dsp:spPr>
        <a:xfrm>
          <a:off x="1209527" y="73254"/>
          <a:ext cx="1709351" cy="1367481"/>
        </a:xfrm>
        <a:prstGeom prst="funnel">
          <a:avLst/>
        </a:prstGeom>
        <a:solidFill>
          <a:schemeClr val="lt1">
            <a:alpha val="4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funnel1">
  <dgm:title val=""/>
  <dgm:desc val=""/>
  <dgm:catLst>
    <dgm:cat type="relationship" pri="2000"/>
    <dgm:cat type="process" pri="27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4"/>
      <dgm:resizeHandles val="exact"/>
    </dgm:varLst>
    <dgm:alg type="composite">
      <dgm:param type="ar" val="1.25"/>
    </dgm:alg>
    <dgm:shape xmlns:r="http://schemas.openxmlformats.org/officeDocument/2006/relationships" r:blip="">
      <dgm:adjLst/>
    </dgm:shape>
    <dgm:presOf/>
    <dgm:choose name="Name1">
      <dgm:if name="Name2" axis="ch" ptType="node" func="cnt" op="equ" val="2">
        <dgm:constrLst>
          <dgm:constr type="w" for="ch" forName="ellipse" refType="w" fact="0.645"/>
          <dgm:constr type="h" for="ch" forName="ellipse" refType="h" fact="0.28"/>
          <dgm:constr type="t" for="ch" forName="ellipse" refType="w" fact="0.0275"/>
          <dgm:constr type="l" for="ch" forName="ellipse" refType="w" fact="0.0265"/>
          <dgm:constr type="w" for="ch" forName="arrow1" refType="w" fact="0.125"/>
          <dgm:constr type="h" for="ch" forName="arrow1" refType="h" fact="0.1"/>
          <dgm:constr type="t" for="ch" forName="arrow1" refType="h" fact="0.72"/>
          <dgm:constr type="l" for="ch" forName="arrow1" refType="w" fact="0.2875"/>
          <dgm:constr type="w" for="ch" forName="rectangle" refType="w" fact="0.6"/>
          <dgm:constr type="h" for="ch" forName="rectangle" refType="w" refFor="ch" refForName="rectangle" fact="0.25"/>
          <dgm:constr type="t" for="ch" forName="rectangle" refType="h" fact="0.8"/>
          <dgm:constr type="l" for="ch" forName="rectangle" refType="w" fact="0.05"/>
          <dgm:constr type="w" for="ch" forName="item1" refType="w" fact="0.35"/>
          <dgm:constr type="h" for="ch" forName="item1" refType="w" fact="0.35"/>
          <dgm:constr type="t" for="ch" forName="item1" refType="h" fact="0.05"/>
          <dgm:constr type="l" for="ch" forName="item1" refType="w" fact="0.125"/>
          <dgm:constr type="primFontSz" for="ch" forName="item1" op="equ" val="65"/>
          <dgm:constr type="w" for="ch" forName="funnel" refType="w" fact="0.7"/>
          <dgm:constr type="h" for="ch" forName="funnel" refType="h" fact="0.7"/>
          <dgm:constr type="t" for="ch" forName="funnel"/>
          <dgm:constr type="l" for="ch" forName="funnel"/>
        </dgm:constrLst>
      </dgm:if>
      <dgm:else name="Name3">
        <dgm:constrLst>
          <dgm:constr type="w" for="ch" forName="ellipse" refType="w" fact="0.645"/>
          <dgm:constr type="h" for="ch" forName="ellipse" refType="h" fact="0.28"/>
          <dgm:constr type="t" for="ch" forName="ellipse" refType="w" fact="0.0275"/>
          <dgm:constr type="l" for="ch" forName="ellipse" refType="w" fact="0.0265"/>
          <dgm:constr type="w" for="ch" forName="arrow1" refType="w" fact="0.125"/>
          <dgm:constr type="h" for="ch" forName="arrow1" refType="h" fact="0.1"/>
          <dgm:constr type="t" for="ch" forName="arrow1" refType="h" fact="0.72"/>
          <dgm:constr type="l" for="ch" forName="arrow1" refType="w" fact="0.2875"/>
          <dgm:constr type="w" for="ch" forName="rectangle" refType="w" fact="0.6"/>
          <dgm:constr type="h" for="ch" forName="rectangle" refType="w" refFor="ch" refForName="rectangle" fact="0.25"/>
          <dgm:constr type="t" for="ch" forName="rectangle" refType="h" fact="0.8"/>
          <dgm:constr type="l" for="ch" forName="rectangle" refType="w" fact="0.05"/>
          <dgm:constr type="primFontSz" for="ch" forName="rectangle" val="65"/>
          <dgm:constr type="w" for="ch" forName="item1" refType="w" fact="0.225"/>
          <dgm:constr type="h" for="ch" forName="item1" refType="w" fact="0.225"/>
          <dgm:constr type="t" for="ch" forName="item1" refType="h" fact="0.336"/>
          <dgm:constr type="l" for="ch" forName="item1" refType="w" fact="0.261"/>
          <dgm:constr type="primFontSz" for="ch" forName="item1" val="65"/>
          <dgm:constr type="w" for="ch" forName="item2" refType="w" fact="0.225"/>
          <dgm:constr type="h" for="ch" forName="item2" refType="w" fact="0.225"/>
          <dgm:constr type="t" for="ch" forName="item2" refType="h" fact="0.125"/>
          <dgm:constr type="l" for="ch" forName="item2" refType="w" fact="0.1"/>
          <dgm:constr type="primFontSz" for="ch" forName="item2" refType="primFontSz" refFor="ch" refForName="item1" op="equ"/>
          <dgm:constr type="w" for="ch" forName="item3" refType="w" fact="0.225"/>
          <dgm:constr type="h" for="ch" forName="item3" refType="w" fact="0.225"/>
          <dgm:constr type="t" for="ch" forName="item3" refType="h" fact="0.057"/>
          <dgm:constr type="l" for="ch" forName="item3" refType="w" fact="0.33"/>
          <dgm:constr type="primFontSz" for="ch" forName="item3" refType="primFontSz" refFor="ch" refForName="item1" op="equ"/>
          <dgm:constr type="w" for="ch" forName="funnel" refType="w" fact="0.7"/>
          <dgm:constr type="h" for="ch" forName="funnel" refType="h" fact="0.7"/>
          <dgm:constr type="t" for="ch" forName="funnel"/>
          <dgm:constr type="l" for="ch" forName="funnel"/>
        </dgm:constrLst>
      </dgm:else>
    </dgm:choose>
    <dgm:ruleLst/>
    <dgm:choose name="Name4">
      <dgm:if name="Name5" axis="ch" ptType="node" func="cnt" op="gte" val="1">
        <dgm:layoutNode name="ellipse" styleLbl="trBgShp">
          <dgm:alg type="sp"/>
          <dgm:shape xmlns:r="http://schemas.openxmlformats.org/officeDocument/2006/relationships" type="ellipse" r:blip="">
            <dgm:adjLst/>
          </dgm:shape>
          <dgm:presOf/>
          <dgm:constrLst/>
          <dgm:ruleLst/>
        </dgm:layoutNode>
        <dgm:layoutNode name="arrow1" styleLbl="fgShp">
          <dgm:alg type="sp"/>
          <dgm:shape xmlns:r="http://schemas.openxmlformats.org/officeDocument/2006/relationships" type="downArrow" r:blip="">
            <dgm:adjLst/>
          </dgm:shape>
          <dgm:presOf/>
          <dgm:constrLst/>
          <dgm:ruleLst/>
        </dgm:layoutNode>
        <dgm:layoutNode name="rectangle" styleLbl="revTx">
          <dgm:varLst>
            <dgm:bulletEnabled val="1"/>
          </dgm:varLst>
          <dgm:alg type="tx">
            <dgm:param type="txAnchorHorzCh" val="ctr"/>
          </dgm:alg>
          <dgm:shape xmlns:r="http://schemas.openxmlformats.org/officeDocument/2006/relationships" type="rect" r:blip="">
            <dgm:adjLst/>
          </dgm:shape>
          <dgm:choose name="Name6">
            <dgm:if name="Name7" axis="ch" ptType="node" func="cnt" op="equ" val="1">
              <dgm:presOf axis="ch desOrSelf" ptType="node node" st="1 1" cnt="1 0"/>
            </dgm:if>
            <dgm:if name="Name8" axis="ch" ptType="node" func="cnt" op="equ" val="2">
              <dgm:presOf axis="ch desOrSelf" ptType="node node" st="2 1" cnt="1 0"/>
            </dgm:if>
            <dgm:if name="Name9" axis="ch" ptType="node" func="cnt" op="equ" val="3">
              <dgm:presOf axis="ch desOrSelf" ptType="node node" st="3 1" cnt="1 0"/>
            </dgm:if>
            <dgm:else name="Name10">
              <dgm:presOf axis="ch desOrSelf" ptType="node node" st="4 1" cnt="1 0"/>
            </dgm:else>
          </dgm:choose>
          <dgm:constrLst/>
          <dgm:ruleLst>
            <dgm:rule type="primFontSz" val="5" fact="NaN" max="NaN"/>
          </dgm:ruleLst>
        </dgm:layoutNode>
        <dgm:forEach name="Name11" axis="ch" ptType="node" st="2" cnt="1">
          <dgm:layoutNode name="item1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12">
              <dgm:if name="Name13" axis="root ch" ptType="all node" func="cnt" op="equ" val="1">
                <dgm:presOf/>
              </dgm:if>
              <dgm:if name="Name14" axis="root ch" ptType="all node" func="cnt" op="equ" val="2">
                <dgm:presOf axis="root ch desOrSelf" ptType="all node node" st="1 1 1" cnt="0 1 0"/>
              </dgm:if>
              <dgm:if name="Name15" axis="root ch" ptType="all node" func="cnt" op="equ" val="3">
                <dgm:presOf axis="root ch desOrSelf" ptType="all node node" st="1 2 1" cnt="0 1 0"/>
              </dgm:if>
              <dgm:else name="Name16">
                <dgm:presOf axis="root ch desOrSelf" ptType="all node node" st="1 3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forEach name="Name17" axis="ch" ptType="node" st="3" cnt="1">
          <dgm:layoutNode name="item2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18">
              <dgm:if name="Name19" axis="root ch" ptType="all node" func="cnt" op="equ" val="1">
                <dgm:presOf/>
              </dgm:if>
              <dgm:if name="Name20" axis="root ch" ptType="all node" func="cnt" op="equ" val="2">
                <dgm:presOf/>
              </dgm:if>
              <dgm:if name="Name21" axis="root ch" ptType="all node" func="cnt" op="equ" val="3">
                <dgm:presOf axis="root ch desOrSelf" ptType="all node node" st="1 1 1" cnt="0 1 0"/>
              </dgm:if>
              <dgm:else name="Name22">
                <dgm:presOf axis="root ch desOrSelf" ptType="all node node" st="1 2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forEach name="Name23" axis="ch" ptType="node" st="4" cnt="1">
          <dgm:layoutNode name="item3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24">
              <dgm:if name="Name25" axis="root ch" ptType="all node" func="cnt" op="equ" val="1">
                <dgm:presOf/>
              </dgm:if>
              <dgm:if name="Name26" axis="root ch" ptType="all node" func="cnt" op="equ" val="2">
                <dgm:presOf/>
              </dgm:if>
              <dgm:if name="Name27" axis="root ch" ptType="all node" func="cnt" op="equ" val="3">
                <dgm:presOf/>
              </dgm:if>
              <dgm:else name="Name28">
                <dgm:presOf axis="root ch desOrSelf" ptType="all node node" st="1 1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layoutNode name="funnel" styleLbl="trAlignAcc1">
          <dgm:alg type="sp"/>
          <dgm:shape xmlns:r="http://schemas.openxmlformats.org/officeDocument/2006/relationships" type="funnel" r:blip="">
            <dgm:adjLst/>
          </dgm:shape>
          <dgm:presOf/>
          <dgm:constrLst/>
          <dgm:ruleLst/>
        </dgm:layoutNode>
      </dgm:if>
      <dgm:else name="Name29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13" Type="http://schemas.openxmlformats.org/officeDocument/2006/relationships/diagramQuickStyle" Target="../diagrams/quickStyle3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diagramLayout" Target="../diagrams/layout3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diagramData" Target="../diagrams/data3.xml"/><Relationship Id="rId5" Type="http://schemas.microsoft.com/office/2007/relationships/diagramDrawing" Target="../diagrams/drawing1.xml"/><Relationship Id="rId15" Type="http://schemas.microsoft.com/office/2007/relationships/diagramDrawing" Target="../diagrams/drawing3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Relationship Id="rId14" Type="http://schemas.openxmlformats.org/officeDocument/2006/relationships/diagramColors" Target="../diagrams/colors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1419225</xdr:colOff>
      <xdr:row>37</xdr:row>
      <xdr:rowOff>128587</xdr:rowOff>
    </xdr:from>
    <xdr:to>
      <xdr:col>7</xdr:col>
      <xdr:colOff>553672</xdr:colOff>
      <xdr:row>61</xdr:row>
      <xdr:rowOff>100011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BB0171C-8B3C-5D3C-CE50-BA9AEA673D5C}"/>
            </a:ext>
          </a:extLst>
        </xdr:cNvPr>
        <xdr:cNvGrpSpPr/>
      </xdr:nvGrpSpPr>
      <xdr:grpSpPr>
        <a:xfrm>
          <a:off x="12430125" y="7177087"/>
          <a:ext cx="5106622" cy="4543424"/>
          <a:chOff x="4629150" y="3062287"/>
          <a:chExt cx="4744672" cy="3400424"/>
        </a:xfrm>
      </xdr:grpSpPr>
      <xdr:graphicFrame macro="">
        <xdr:nvGraphicFramePr>
          <xdr:cNvPr id="9" name="Diagram 8">
            <a:extLst>
              <a:ext uri="{FF2B5EF4-FFF2-40B4-BE49-F238E27FC236}">
                <a16:creationId xmlns:a16="http://schemas.microsoft.com/office/drawing/2014/main" id="{2D86B130-0CE7-42ED-8B2F-7DC8B7D3823B}"/>
              </a:ext>
            </a:extLst>
          </xdr:cNvPr>
          <xdr:cNvGraphicFramePr/>
        </xdr:nvGraphicFramePr>
        <xdr:xfrm>
          <a:off x="6219824" y="3062287"/>
          <a:ext cx="3153998" cy="1005378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graphicFrame macro="">
        <xdr:nvGraphicFramePr>
          <xdr:cNvPr id="10" name="Diagram 9">
            <a:extLst>
              <a:ext uri="{FF2B5EF4-FFF2-40B4-BE49-F238E27FC236}">
                <a16:creationId xmlns:a16="http://schemas.microsoft.com/office/drawing/2014/main" id="{74ABF3A8-B9FB-486B-B6B3-3DB8047B6872}"/>
              </a:ext>
            </a:extLst>
          </xdr:cNvPr>
          <xdr:cNvGraphicFramePr/>
        </xdr:nvGraphicFramePr>
        <xdr:xfrm>
          <a:off x="4748925" y="3846542"/>
          <a:ext cx="1266824" cy="48577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5" name="Callout: Left-Right Arrow 14">
            <a:extLst>
              <a:ext uri="{FF2B5EF4-FFF2-40B4-BE49-F238E27FC236}">
                <a16:creationId xmlns:a16="http://schemas.microsoft.com/office/drawing/2014/main" id="{5F8558A4-9808-BBFE-42D3-50E6F5FA2CAB}"/>
              </a:ext>
            </a:extLst>
          </xdr:cNvPr>
          <xdr:cNvSpPr/>
        </xdr:nvSpPr>
        <xdr:spPr>
          <a:xfrm rot="5400000">
            <a:off x="6200775" y="4067175"/>
            <a:ext cx="742950" cy="742950"/>
          </a:xfrm>
          <a:prstGeom prst="leftRightArrowCallou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6" name="Diagram 15">
            <a:extLst>
              <a:ext uri="{FF2B5EF4-FFF2-40B4-BE49-F238E27FC236}">
                <a16:creationId xmlns:a16="http://schemas.microsoft.com/office/drawing/2014/main" id="{D19EB2F1-3E85-8848-7266-9529373D1ABA}"/>
              </a:ext>
            </a:extLst>
          </xdr:cNvPr>
          <xdr:cNvGraphicFramePr/>
        </xdr:nvGraphicFramePr>
        <xdr:xfrm>
          <a:off x="4629150" y="5000624"/>
          <a:ext cx="3886200" cy="1462087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1" r:lo="rId12" r:qs="rId13" r:cs="rId1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6</xdr:row>
      <xdr:rowOff>47625</xdr:rowOff>
    </xdr:from>
    <xdr:to>
      <xdr:col>9</xdr:col>
      <xdr:colOff>314325</xdr:colOff>
      <xdr:row>9</xdr:row>
      <xdr:rowOff>133350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A9D003-A0B2-7672-A96B-2364DDD56275}"/>
            </a:ext>
          </a:extLst>
        </xdr:cNvPr>
        <xdr:cNvSpPr/>
      </xdr:nvSpPr>
      <xdr:spPr>
        <a:xfrm>
          <a:off x="4181475" y="1190625"/>
          <a:ext cx="161925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95250</xdr:colOff>
      <xdr:row>6</xdr:row>
      <xdr:rowOff>38100</xdr:rowOff>
    </xdr:from>
    <xdr:to>
      <xdr:col>13</xdr:col>
      <xdr:colOff>495300</xdr:colOff>
      <xdr:row>9</xdr:row>
      <xdr:rowOff>123825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56D31C-1F49-A6DA-534C-1B67F7AFD45B}"/>
            </a:ext>
          </a:extLst>
        </xdr:cNvPr>
        <xdr:cNvSpPr/>
      </xdr:nvSpPr>
      <xdr:spPr>
        <a:xfrm>
          <a:off x="6800850" y="1181100"/>
          <a:ext cx="161925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314325</xdr:colOff>
      <xdr:row>7</xdr:row>
      <xdr:rowOff>176213</xdr:rowOff>
    </xdr:from>
    <xdr:to>
      <xdr:col>11</xdr:col>
      <xdr:colOff>95250</xdr:colOff>
      <xdr:row>7</xdr:row>
      <xdr:rowOff>185738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583F72A-716A-047E-01A8-EFD5A7D00E3B}"/>
            </a:ext>
          </a:extLst>
        </xdr:cNvPr>
        <xdr:cNvCxnSpPr>
          <a:stCxn id="2" idx="3"/>
          <a:endCxn id="3" idx="1"/>
        </xdr:cNvCxnSpPr>
      </xdr:nvCxnSpPr>
      <xdr:spPr>
        <a:xfrm flipV="1">
          <a:off x="5800725" y="1509713"/>
          <a:ext cx="10001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581025</xdr:colOff>
      <xdr:row>6</xdr:row>
      <xdr:rowOff>38100</xdr:rowOff>
    </xdr:from>
    <xdr:to>
      <xdr:col>17</xdr:col>
      <xdr:colOff>371475</xdr:colOff>
      <xdr:row>9</xdr:row>
      <xdr:rowOff>123825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2127CB1-E7C6-BFEE-F11D-F572A91B2904}"/>
            </a:ext>
          </a:extLst>
        </xdr:cNvPr>
        <xdr:cNvSpPr/>
      </xdr:nvSpPr>
      <xdr:spPr>
        <a:xfrm>
          <a:off x="9115425" y="1181100"/>
          <a:ext cx="161925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495300</xdr:colOff>
      <xdr:row>7</xdr:row>
      <xdr:rowOff>176213</xdr:rowOff>
    </xdr:from>
    <xdr:to>
      <xdr:col>14</xdr:col>
      <xdr:colOff>581025</xdr:colOff>
      <xdr:row>7</xdr:row>
      <xdr:rowOff>176213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7C8C86BF-B0B4-7096-17C1-6A94A0BE3EAC}"/>
            </a:ext>
          </a:extLst>
        </xdr:cNvPr>
        <xdr:cNvCxnSpPr>
          <a:stCxn id="3" idx="3"/>
          <a:endCxn id="8" idx="1"/>
        </xdr:cNvCxnSpPr>
      </xdr:nvCxnSpPr>
      <xdr:spPr>
        <a:xfrm>
          <a:off x="8420100" y="1509713"/>
          <a:ext cx="695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85724</xdr:rowOff>
    </xdr:from>
    <xdr:to>
      <xdr:col>7</xdr:col>
      <xdr:colOff>190500</xdr:colOff>
      <xdr:row>9</xdr:row>
      <xdr:rowOff>19049</xdr:rowOff>
    </xdr:to>
    <xdr:sp macro="" textlink="">
      <xdr:nvSpPr>
        <xdr:cNvPr id="16" name="Hexagon 15">
          <a:extLst>
            <a:ext uri="{FF2B5EF4-FFF2-40B4-BE49-F238E27FC236}">
              <a16:creationId xmlns:a16="http://schemas.microsoft.com/office/drawing/2014/main" id="{59271B19-319B-4C07-023E-0840037CAD5D}"/>
            </a:ext>
          </a:extLst>
        </xdr:cNvPr>
        <xdr:cNvSpPr/>
      </xdr:nvSpPr>
      <xdr:spPr>
        <a:xfrm>
          <a:off x="4305300" y="1609724"/>
          <a:ext cx="152400" cy="123825"/>
        </a:xfrm>
        <a:prstGeom prst="hex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266700</xdr:colOff>
      <xdr:row>8</xdr:row>
      <xdr:rowOff>85724</xdr:rowOff>
    </xdr:from>
    <xdr:to>
      <xdr:col>7</xdr:col>
      <xdr:colOff>419100</xdr:colOff>
      <xdr:row>9</xdr:row>
      <xdr:rowOff>19049</xdr:rowOff>
    </xdr:to>
    <xdr:sp macro="" textlink="">
      <xdr:nvSpPr>
        <xdr:cNvPr id="17" name="Hexagon 16">
          <a:extLst>
            <a:ext uri="{FF2B5EF4-FFF2-40B4-BE49-F238E27FC236}">
              <a16:creationId xmlns:a16="http://schemas.microsoft.com/office/drawing/2014/main" id="{C4656732-741E-7115-8E94-DA1FCD239691}"/>
            </a:ext>
          </a:extLst>
        </xdr:cNvPr>
        <xdr:cNvSpPr/>
      </xdr:nvSpPr>
      <xdr:spPr>
        <a:xfrm>
          <a:off x="4533900" y="1609724"/>
          <a:ext cx="152400" cy="123825"/>
        </a:xfrm>
        <a:prstGeom prst="hex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466725</xdr:colOff>
      <xdr:row>8</xdr:row>
      <xdr:rowOff>85724</xdr:rowOff>
    </xdr:from>
    <xdr:to>
      <xdr:col>8</xdr:col>
      <xdr:colOff>9525</xdr:colOff>
      <xdr:row>9</xdr:row>
      <xdr:rowOff>19049</xdr:rowOff>
    </xdr:to>
    <xdr:sp macro="" textlink="">
      <xdr:nvSpPr>
        <xdr:cNvPr id="18" name="Hexagon 17">
          <a:extLst>
            <a:ext uri="{FF2B5EF4-FFF2-40B4-BE49-F238E27FC236}">
              <a16:creationId xmlns:a16="http://schemas.microsoft.com/office/drawing/2014/main" id="{CAE20F59-E740-DCD1-AF72-54BAF292B21F}"/>
            </a:ext>
          </a:extLst>
        </xdr:cNvPr>
        <xdr:cNvSpPr/>
      </xdr:nvSpPr>
      <xdr:spPr>
        <a:xfrm>
          <a:off x="4733925" y="1609724"/>
          <a:ext cx="152400" cy="123825"/>
        </a:xfrm>
        <a:prstGeom prst="hex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5AF22-DDEF-4A22-9BA4-243C94102CA3}">
  <sheetPr codeName="Sheet4"/>
  <dimension ref="A1:C42"/>
  <sheetViews>
    <sheetView workbookViewId="0">
      <selection activeCell="D22" sqref="D22:F24"/>
    </sheetView>
  </sheetViews>
  <sheetFormatPr defaultColWidth="25.5703125" defaultRowHeight="15" x14ac:dyDescent="0.25"/>
  <cols>
    <col min="1" max="1" width="35.7109375" customWidth="1"/>
    <col min="2" max="2" width="41.140625" customWidth="1"/>
    <col min="3" max="3" width="157" customWidth="1"/>
  </cols>
  <sheetData>
    <row r="1" spans="1:3" s="1" customFormat="1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16</v>
      </c>
      <c r="B2" t="s">
        <v>8</v>
      </c>
      <c r="C2" t="str">
        <f>"#"&amp;A2&amp;".Pul  :=  #"&amp;A2&amp;"."&amp;B2&amp;" AND NOT #"&amp;A2&amp;".Mem;#"&amp;A2&amp;".Mem  :=  #"&amp;A2&amp;"."&amp;B2&amp;";"</f>
        <v>#Start.Pul  :=  #Start.Sig AND NOT #Start.Mem;#Start.Mem  :=  #Start.Sig;</v>
      </c>
    </row>
    <row r="3" spans="1:3" s="1" customFormat="1" x14ac:dyDescent="0.25">
      <c r="A3" s="1" t="s">
        <v>2</v>
      </c>
      <c r="B3" t="s">
        <v>10</v>
      </c>
      <c r="C3" t="str">
        <f>"#"&amp;A3&amp;".Pul  :=  #"&amp;A3&amp;"."&amp;B3&amp;" AND NOT #"&amp;A3&amp;".Mem;#"&amp;A3&amp;".Mem  :=  #"&amp;A3&amp;"."&amp;B3&amp;";"</f>
        <v>#Clock.Pul  :=  #Clock.Clk AND NOT #Clock.Mem;#Clock.Mem  :=  #Clock.Clk;</v>
      </c>
    </row>
    <row r="4" spans="1:3" s="1" customFormat="1" x14ac:dyDescent="0.25">
      <c r="A4" s="1" t="s">
        <v>26</v>
      </c>
      <c r="B4" t="s">
        <v>8</v>
      </c>
      <c r="C4" t="str">
        <f>"#"&amp;A4&amp;".Pul  :=  #"&amp;A4&amp;"."&amp;B4&amp;" AND NOT #"&amp;A4&amp;".Mem;#"&amp;A4&amp;".Mem  :=  #"&amp;A4&amp;"."&amp;B4&amp;";"</f>
        <v>#A.Status.Released.Pul  :=  #A.Status.Released.Sig AND NOT #A.Status.Released.Mem;#A.Status.Released.Mem  :=  #A.Status.Released.Sig;</v>
      </c>
    </row>
    <row r="5" spans="1:3" s="1" customFormat="1" x14ac:dyDescent="0.25">
      <c r="A5" s="1" t="s">
        <v>1</v>
      </c>
      <c r="B5" t="s">
        <v>9</v>
      </c>
      <c r="C5" t="str">
        <f>"#"&amp;A5&amp;".Pul  :=  #"&amp;A5&amp;"."&amp;B5&amp;" AND NOT #"&amp;A5&amp;".Mem;#"&amp;A5&amp;".Mem  :=  #"&amp;A5&amp;"."&amp;B5&amp;";"</f>
        <v>#Detector.Pul  :=  #Detector.Inp AND NOT #Detector.Mem;#Detector.Mem  :=  #Detector.Inp;</v>
      </c>
    </row>
    <row r="6" spans="1:3" s="1" customFormat="1" ht="15.75" customHeight="1" x14ac:dyDescent="0.25">
      <c r="A6" t="s">
        <v>17</v>
      </c>
      <c r="B6" t="s">
        <v>18</v>
      </c>
      <c r="C6" t="str">
        <f>"IF "&amp;A6&amp;" THEN "&amp;B6&amp;"; END_IF;"</f>
        <v>IF #Start.Pul THEN #StartPulseCounter.ActValue := #StartPulseCounter.ResValue; END_IF;</v>
      </c>
    </row>
    <row r="7" spans="1:3" s="1" customFormat="1" x14ac:dyDescent="0.25">
      <c r="A7" t="s">
        <v>17</v>
      </c>
      <c r="B7" t="s">
        <v>19</v>
      </c>
      <c r="C7" t="str">
        <f>"IF "&amp;A7&amp;" THEN "&amp;B7&amp;"; END_IF;"</f>
        <v>IF #Start.Pul THEN #StartClockCounter.ActValue := #StartClockCounter.ResValue; END_IF;</v>
      </c>
    </row>
    <row r="8" spans="1:3" s="1" customFormat="1" x14ac:dyDescent="0.25"/>
    <row r="9" spans="1:3" s="1" customFormat="1" x14ac:dyDescent="0.25">
      <c r="A9" s="1" t="s">
        <v>20</v>
      </c>
      <c r="B9" t="s">
        <v>9</v>
      </c>
      <c r="C9" t="str">
        <f>"#"&amp;A9&amp;".Pul  :=  #"&amp;A9&amp;"."&amp;B9&amp;" AND NOT #"&amp;A9&amp;".Mem;#"&amp;A9&amp;".Mem  :=  #"&amp;A9&amp;"."&amp;B9&amp;";"</f>
        <v>#ProtectionFault.Pul  :=  #ProtectionFault.Inp AND NOT #ProtectionFault.Mem;#ProtectionFault.Mem  :=  #ProtectionFault.Inp;</v>
      </c>
    </row>
    <row r="10" spans="1:3" x14ac:dyDescent="0.25">
      <c r="A10" s="1" t="s">
        <v>21</v>
      </c>
      <c r="B10" t="s">
        <v>9</v>
      </c>
      <c r="C10" t="str">
        <f>"#"&amp;A10&amp;".Pul  :=  #"&amp;A10&amp;"."&amp;B10&amp;" AND NOT #"&amp;A10&amp;".Mem;IF #"&amp;A10&amp;".Pul THEN #"&amp;A10&amp;".Mem:=TRUE;END_IF;"</f>
        <v>#Motor.ThProt.Alm.Pul  :=  #Motor.ThProt.Alm.Inp AND NOT #Motor.ThProt.Alm.Mem;IF #Motor.ThProt.Alm.Pul THEN #Motor.ThProt.Alm.Mem:=TRUE;END_IF;</v>
      </c>
    </row>
    <row r="11" spans="1:3" s="1" customFormat="1" x14ac:dyDescent="0.25">
      <c r="A11" s="1" t="s">
        <v>22</v>
      </c>
      <c r="B11" t="s">
        <v>9</v>
      </c>
      <c r="C11" t="str">
        <f>"#"&amp;A11&amp;".Pul  :=  #"&amp;A11&amp;"."&amp;B11&amp;" AND NOT #"&amp;A11&amp;".Mem;IF #"&amp;A11&amp;".Pul THEN #"&amp;A11&amp;".Mem:=TRUE;END_IF;"</f>
        <v>#EmergencyStop.Alm.Pul  :=  #EmergencyStop.Alm.Inp AND NOT #EmergencyStop.Alm.Mem;IF #EmergencyStop.Alm.Pul THEN #EmergencyStop.Alm.Mem:=TRUE;END_IF;</v>
      </c>
    </row>
    <row r="12" spans="1:3" s="1" customFormat="1" x14ac:dyDescent="0.25"/>
    <row r="13" spans="1:3" s="1" customFormat="1" x14ac:dyDescent="0.25"/>
    <row r="14" spans="1:3" s="1" customFormat="1" x14ac:dyDescent="0.25">
      <c r="A14" s="1" t="s">
        <v>24</v>
      </c>
      <c r="B14" t="s">
        <v>23</v>
      </c>
      <c r="C14" t="str">
        <f>" "&amp;A14&amp;".Tmr.TON(IN :=  "&amp;B14&amp;", PT := "&amp;A14&amp;".Tim);"</f>
        <v xml:space="preserve"> #A.MovStart.Tmr.TON(IN :=  #A.Status.On, PT := #A.MovStart.Tim);</v>
      </c>
    </row>
    <row r="15" spans="1:3" s="1" customFormat="1" x14ac:dyDescent="0.25">
      <c r="A15" s="1" t="s">
        <v>25</v>
      </c>
      <c r="B15" t="s">
        <v>25</v>
      </c>
      <c r="C15" t="str">
        <f>" "&amp;A15&amp;".Tmr.TOF(IN :=  "&amp;B15&amp;", PT := "&amp;A15&amp;".Tim);"</f>
        <v xml:space="preserve"> #A.MovStop.Tmr.TOF(IN :=  #A.MovStop, PT := #A.MovStop.Tim);</v>
      </c>
    </row>
    <row r="16" spans="1:3" s="1" customFormat="1" x14ac:dyDescent="0.25"/>
    <row r="17" spans="1:3" s="1" customFormat="1" x14ac:dyDescent="0.25"/>
    <row r="18" spans="1:3" s="1" customFormat="1" x14ac:dyDescent="0.25"/>
    <row r="19" spans="1:3" s="1" customFormat="1" x14ac:dyDescent="0.25"/>
    <row r="20" spans="1:3" s="1" customFormat="1" x14ac:dyDescent="0.25"/>
    <row r="21" spans="1:3" s="1" customFormat="1" x14ac:dyDescent="0.25"/>
    <row r="22" spans="1:3" s="1" customFormat="1" x14ac:dyDescent="0.25"/>
    <row r="23" spans="1:3" s="1" customFormat="1" x14ac:dyDescent="0.25"/>
    <row r="24" spans="1:3" s="1" customFormat="1" x14ac:dyDescent="0.25"/>
    <row r="25" spans="1:3" s="1" customFormat="1" x14ac:dyDescent="0.25"/>
    <row r="26" spans="1:3" x14ac:dyDescent="0.25">
      <c r="A26" t="s">
        <v>0</v>
      </c>
      <c r="B26" t="s">
        <v>8</v>
      </c>
      <c r="C26" t="str">
        <f>"#"&amp;A26&amp;".Pul  :=  #"&amp;A26&amp;"."&amp;B26&amp;" AND NOT #"&amp;A26&amp;".Mem;#"&amp;A26&amp;".Mem  :=  #"&amp;A26&amp;"."&amp;B26&amp;";"</f>
        <v>#MoveOn.Pul  :=  #MoveOn.Sig AND NOT #MoveOn.Mem;#MoveOn.Mem  :=  #MoveOn.Sig;</v>
      </c>
    </row>
    <row r="27" spans="1:3" x14ac:dyDescent="0.25">
      <c r="A27" t="s">
        <v>2</v>
      </c>
      <c r="B27" t="s">
        <v>10</v>
      </c>
      <c r="C27" t="str">
        <f>"#"&amp;A27&amp;".Pul  :=  #"&amp;A27&amp;"."&amp;B27&amp;" AND NOT #"&amp;A27&amp;".Mem;#"&amp;A27&amp;".Mem  :=  #"&amp;A27&amp;"."&amp;B27&amp;";"</f>
        <v>#Clock.Pul  :=  #Clock.Clk AND NOT #Clock.Mem;#Clock.Mem  :=  #Clock.Clk;</v>
      </c>
    </row>
    <row r="28" spans="1:3" x14ac:dyDescent="0.25">
      <c r="A28" t="s">
        <v>1</v>
      </c>
      <c r="B28" t="s">
        <v>9</v>
      </c>
      <c r="C28" t="str">
        <f>"#"&amp;A28&amp;".Pul  :=  #"&amp;A28&amp;"."&amp;B28&amp;" AND NOT #"&amp;A28&amp;".Mem;#"&amp;A28&amp;".Mem  :=  #"&amp;A28&amp;"."&amp;B28&amp;";"</f>
        <v>#Detector.Pul  :=  #Detector.Inp AND NOT #Detector.Mem;#Detector.Mem  :=  #Detector.Inp;</v>
      </c>
    </row>
    <row r="30" spans="1:3" x14ac:dyDescent="0.25">
      <c r="A30" t="s">
        <v>7</v>
      </c>
      <c r="B30" t="s">
        <v>8</v>
      </c>
      <c r="C30" t="str">
        <f>"#"&amp;A30&amp;".Pul  :=  #"&amp;A30&amp;"."&amp;B30&amp;" AND NOT #"&amp;A30&amp;".Mem;IF #"&amp;A30&amp;".Pul THEN #"&amp;A30&amp;".Mem:=TRUE;END_IF;"</f>
        <v>#WatchTimeOut.Alm.Pul  :=  #WatchTimeOut.Alm.Sig AND NOT #WatchTimeOut.Alm.Mem;IF #WatchTimeOut.Alm.Pul THEN #WatchTimeOut.Alm.Mem:=TRUE;END_IF;</v>
      </c>
    </row>
    <row r="35" spans="1:3" x14ac:dyDescent="0.25">
      <c r="A35" t="s">
        <v>4</v>
      </c>
      <c r="B35" t="s">
        <v>3</v>
      </c>
      <c r="C35" t="str">
        <f>"IF "&amp;A35&amp;" THEN "&amp;B35&amp;"; END_IF;"</f>
        <v>IF #StartPulseCounter.ActValue &gt; 1 THEN #StartPulseCounter.ActValue -= 1; END_IF;</v>
      </c>
    </row>
    <row r="37" spans="1:3" x14ac:dyDescent="0.25">
      <c r="A37" t="s">
        <v>5</v>
      </c>
      <c r="C37" t="str">
        <f>"IF "&amp;A37&amp;".ActValue&gt;0 THEN "&amp;A37&amp;".ActValue-=1; END_IF;"</f>
        <v>IF StartPulseCounter.ActValue&gt;0 THEN StartPulseCounter.ActValue-=1; END_IF;</v>
      </c>
    </row>
    <row r="38" spans="1:3" x14ac:dyDescent="0.25">
      <c r="A38" t="s">
        <v>14</v>
      </c>
      <c r="C38" t="str">
        <f>"IF "&amp;A38&amp;".ActValue&gt;0 THEN "&amp;A38&amp;".ActValue-=1; END_IF;"</f>
        <v>IF StartClockCounter.ActValue&gt;0 THEN StartClockCounter.ActValue-=1; END_IF;</v>
      </c>
    </row>
    <row r="39" spans="1:3" x14ac:dyDescent="0.25">
      <c r="A39" t="s">
        <v>15</v>
      </c>
      <c r="C39" t="str">
        <f>"IF "&amp;A39&amp;".ActValue&gt;0 THEN "&amp;A39&amp;".ActValue-=1; END_IF;"</f>
        <v>IF WatchClockCounter.ActValue&gt;0 THEN WatchClockCounter.ActValue-=1; END_IF;</v>
      </c>
    </row>
    <row r="42" spans="1:3" x14ac:dyDescent="0.25">
      <c r="A42" t="s">
        <v>6</v>
      </c>
      <c r="B42" t="s">
        <v>8</v>
      </c>
      <c r="C42" t="str">
        <f>"#"&amp;A42&amp;".Pul  :=  #"&amp;A42&amp;"."&amp;B42&amp;" AND NOT #"&amp;A42&amp;".Mem;IF #"&amp;A42&amp;".Pul THEN #"&amp;A42&amp;".Mem:=TRUE;END_IF;"</f>
        <v>#StartTimeOut.Alm.Pul  :=  #StartTimeOut.Alm.Sig AND NOT #StartTimeOut.Alm.Mem;IF #StartTimeOut.Alm.Pul THEN #StartTimeOut.Alm.Mem:=TRUE;END_IF;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A81BF-6B44-451D-87D9-4C28405CB13B}">
  <sheetPr codeName="Sheet7"/>
  <dimension ref="A1:C31"/>
  <sheetViews>
    <sheetView workbookViewId="0">
      <selection activeCell="D22" sqref="D22:F24"/>
    </sheetView>
  </sheetViews>
  <sheetFormatPr defaultColWidth="25.5703125" defaultRowHeight="15" x14ac:dyDescent="0.25"/>
  <cols>
    <col min="1" max="1" width="33.28515625" customWidth="1"/>
    <col min="2" max="2" width="33.7109375" customWidth="1"/>
    <col min="3" max="3" width="167.5703125" customWidth="1"/>
  </cols>
  <sheetData>
    <row r="1" spans="1:3" s="1" customFormat="1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0</v>
      </c>
      <c r="B2" t="s">
        <v>8</v>
      </c>
      <c r="C2" t="str">
        <f>"#"&amp;A2&amp;".Pul  :=  #"&amp;A2&amp;"."&amp;B2&amp;" AND NOT #"&amp;A2&amp;".Mem;#"&amp;A2&amp;".Mem  :=  #"&amp;A2&amp;"."&amp;B2&amp;";"</f>
        <v>#MoveOn.Pul  :=  #MoveOn.Sig AND NOT #MoveOn.Mem;#MoveOn.Mem  :=  #MoveOn.Sig;</v>
      </c>
    </row>
    <row r="3" spans="1:3" x14ac:dyDescent="0.25">
      <c r="A3" t="s">
        <v>2</v>
      </c>
      <c r="B3" t="s">
        <v>10</v>
      </c>
      <c r="C3" t="str">
        <f>"#"&amp;A3&amp;".Pul  :=  #"&amp;A3&amp;"."&amp;B3&amp;" AND NOT #"&amp;A3&amp;".Mem;#"&amp;A3&amp;".Mem  :=  #"&amp;A3&amp;"."&amp;B3&amp;";"</f>
        <v>#Clock.Pul  :=  #Clock.Clk AND NOT #Clock.Mem;#Clock.Mem  :=  #Clock.Clk;</v>
      </c>
    </row>
    <row r="4" spans="1:3" x14ac:dyDescent="0.25">
      <c r="A4" t="s">
        <v>1</v>
      </c>
      <c r="B4" t="s">
        <v>9</v>
      </c>
      <c r="C4" t="str">
        <f>"#"&amp;A4&amp;".Pul  :=  #"&amp;A4&amp;"."&amp;B4&amp;" AND NOT #"&amp;A4&amp;".Mem;#"&amp;A4&amp;".Mem  :=  #"&amp;A4&amp;"."&amp;B4&amp;";"</f>
        <v>#Detector.Pul  :=  #Detector.Inp AND NOT #Detector.Mem;#Detector.Mem  :=  #Detector.Inp;</v>
      </c>
    </row>
    <row r="5" spans="1:3" x14ac:dyDescent="0.25">
      <c r="A5" t="s">
        <v>35</v>
      </c>
      <c r="B5" t="s">
        <v>8</v>
      </c>
      <c r="C5" t="str">
        <f>"#"&amp;A5&amp;".Pul  :=  #"&amp;A5&amp;"."&amp;B5&amp;" AND NOT #"&amp;A5&amp;".Mem;#"&amp;A5&amp;".Mem  :=  #"&amp;A5&amp;"."&amp;B5&amp;";"</f>
        <v>#Pos[n].OnPos.Pul  :=  #Pos[n].OnPos.Sig AND NOT #Pos[n].OnPos.Mem;#Pos[n].OnPos.Mem  :=  #Pos[n].OnPos.Sig;</v>
      </c>
    </row>
    <row r="7" spans="1:3" x14ac:dyDescent="0.25">
      <c r="A7" t="s">
        <v>7</v>
      </c>
      <c r="B7" t="s">
        <v>8</v>
      </c>
      <c r="C7" t="str">
        <f>"#"&amp;A7&amp;".Pul  :=  #"&amp;A7&amp;"."&amp;B7&amp;" AND NOT #"&amp;A7&amp;".Mem;IF #"&amp;A7&amp;".Pul THEN #"&amp;A7&amp;".Mem:=TRUE;END_IF;"</f>
        <v>#WatchTimeOut.Alm.Pul  :=  #WatchTimeOut.Alm.Sig AND NOT #WatchTimeOut.Alm.Mem;IF #WatchTimeOut.Alm.Pul THEN #WatchTimeOut.Alm.Mem:=TRUE;END_IF;</v>
      </c>
    </row>
    <row r="9" spans="1:3" x14ac:dyDescent="0.25">
      <c r="A9" t="s">
        <v>24</v>
      </c>
      <c r="B9" t="s">
        <v>23</v>
      </c>
      <c r="C9" t="str">
        <f>A9&amp;".Tmr.TON(IN := "&amp;B9&amp;", PT :="&amp;A9&amp;".Tim);"</f>
        <v>#A.MovStart.Tmr.TON(IN := #A.Status.On, PT :=#A.MovStart.Tim);</v>
      </c>
    </row>
    <row r="10" spans="1:3" x14ac:dyDescent="0.25">
      <c r="A10" t="s">
        <v>25</v>
      </c>
      <c r="B10" t="s">
        <v>23</v>
      </c>
      <c r="C10" t="str">
        <f>A10&amp;".Tmr.TOF(IN := "&amp;B10&amp;", PT :="&amp;A10&amp;".Tim);"</f>
        <v>#A.MovStop.Tmr.TOF(IN := #A.Status.On, PT :=#A.MovStop.Tim);</v>
      </c>
    </row>
    <row r="12" spans="1:3" x14ac:dyDescent="0.25">
      <c r="A12" t="s">
        <v>4</v>
      </c>
      <c r="B12" t="s">
        <v>3</v>
      </c>
      <c r="C12" t="str">
        <f>"IF "&amp;A12&amp;" THEN "&amp;B12&amp;"; END_IF;"</f>
        <v>IF #StartPulseCounter.ActValue &gt; 1 THEN #StartPulseCounter.ActValue -= 1; END_IF;</v>
      </c>
    </row>
    <row r="14" spans="1:3" x14ac:dyDescent="0.25">
      <c r="A14" t="s">
        <v>5</v>
      </c>
      <c r="C14" t="str">
        <f>"IF "&amp;A14&amp;".ActValue&gt;0 THEN "&amp;A14&amp;".ActValue-=1; END_IF;"</f>
        <v>IF StartPulseCounter.ActValue&gt;0 THEN StartPulseCounter.ActValue-=1; END_IF;</v>
      </c>
    </row>
    <row r="15" spans="1:3" x14ac:dyDescent="0.25">
      <c r="A15" t="s">
        <v>14</v>
      </c>
      <c r="C15" t="str">
        <f>"IF "&amp;A15&amp;".ActValue&gt;0 THEN "&amp;A15&amp;".ActValue-=1; END_IF;"</f>
        <v>IF StartClockCounter.ActValue&gt;0 THEN StartClockCounter.ActValue-=1; END_IF;</v>
      </c>
    </row>
    <row r="16" spans="1:3" x14ac:dyDescent="0.25">
      <c r="A16" t="s">
        <v>15</v>
      </c>
      <c r="C16" t="str">
        <f>"IF "&amp;A16&amp;".ActValue&gt;0 THEN "&amp;A16&amp;".ActValue-=1; END_IF;"</f>
        <v>IF WatchClockCounter.ActValue&gt;0 THEN WatchClockCounter.ActValue-=1; END_IF;</v>
      </c>
    </row>
    <row r="19" spans="1:3" x14ac:dyDescent="0.25">
      <c r="A19" t="s">
        <v>6</v>
      </c>
      <c r="B19" t="s">
        <v>8</v>
      </c>
      <c r="C19" t="str">
        <f>"#"&amp;A19&amp;".Pul  :=  #"&amp;A19&amp;"."&amp;B19&amp;" AND NOT #"&amp;A19&amp;".Mem;IF #"&amp;A19&amp;".Pul THEN #"&amp;A19&amp;".Mem:=TRUE;END_IF;"</f>
        <v>#StartTimeOut.Alm.Pul  :=  #StartTimeOut.Alm.Sig AND NOT #StartTimeOut.Alm.Mem;IF #StartTimeOut.Alm.Pul THEN #StartTimeOut.Alm.Mem:=TRUE;END_IF;</v>
      </c>
    </row>
    <row r="22" spans="1:3" x14ac:dyDescent="0.25">
      <c r="A22" t="s">
        <v>36</v>
      </c>
      <c r="B22" t="s">
        <v>37</v>
      </c>
      <c r="C22" t="str">
        <f>A22&amp;".Tmr.TON(IN := "&amp;B22&amp;", PT :="&amp;A22&amp;".Tim);"</f>
        <v>#Pos[n].PosTimer.Tmr.TON(IN := #Pos[n].MoveTo, PT :=#Pos[n].PosTimer.Tim);</v>
      </c>
    </row>
    <row r="23" spans="1:3" x14ac:dyDescent="0.25">
      <c r="A23" t="s">
        <v>27</v>
      </c>
      <c r="B23" t="s">
        <v>28</v>
      </c>
      <c r="C23" t="str">
        <f>A23&amp;".Tmr.TON(IN := "&amp;B23&amp;", PT :="&amp;A23&amp;".Tim);"</f>
        <v>#B.PosTimer.Tmr.TON(IN := #B.MoveTo, PT :=#B.PosTimer.Tim);</v>
      </c>
    </row>
    <row r="25" spans="1:3" x14ac:dyDescent="0.25">
      <c r="A25" t="s">
        <v>38</v>
      </c>
      <c r="B25" t="s">
        <v>8</v>
      </c>
      <c r="C25" t="str">
        <f>"#"&amp;A25&amp;".Pul  :=  #"&amp;A25&amp;"."&amp;B25&amp;" AND NOT #"&amp;A25&amp;".Mem;#"&amp;A25&amp;".Mem  :=  #"&amp;A25&amp;"."&amp;B25&amp;";"</f>
        <v>#Pos[n].Alm.Pul  :=  #Pos[n].Alm.Sig AND NOT #Pos[n].Alm.Mem;#Pos[n].Alm.Mem  :=  #Pos[n].Alm.Sig;</v>
      </c>
    </row>
    <row r="26" spans="1:3" x14ac:dyDescent="0.25">
      <c r="A26" t="s">
        <v>29</v>
      </c>
      <c r="B26" t="s">
        <v>8</v>
      </c>
      <c r="C26" t="str">
        <f>"#"&amp;A26&amp;".Pul  :=  #"&amp;A26&amp;"."&amp;B26&amp;" AND NOT #"&amp;A26&amp;".Mem;#"&amp;A26&amp;".Mem  :=  #"&amp;A26&amp;"."&amp;B26&amp;";"</f>
        <v>#B.Alm.Pul  :=  #B.Alm.Sig AND NOT #B.Alm.Mem;#B.Alm.Mem  :=  #B.Alm.Sig;</v>
      </c>
    </row>
    <row r="27" spans="1:3" ht="16.5" customHeight="1" x14ac:dyDescent="0.25"/>
    <row r="28" spans="1:3" x14ac:dyDescent="0.25">
      <c r="A28" t="s">
        <v>30</v>
      </c>
      <c r="B28" t="s">
        <v>31</v>
      </c>
      <c r="C28" t="str">
        <f>"IF "&amp;A28&amp;" THEN "&amp;B28&amp;"; END_IF;"</f>
        <v>IF #A.MoveTo AND #A.OnPos THEN #A.MoveTo:=False; END_IF;</v>
      </c>
    </row>
    <row r="29" spans="1:3" x14ac:dyDescent="0.25">
      <c r="A29" t="s">
        <v>33</v>
      </c>
      <c r="B29" t="s">
        <v>32</v>
      </c>
      <c r="C29" t="str">
        <f>"IF "&amp;A29&amp;" THEN "&amp;B29&amp;"; END_IF;"</f>
        <v>IF #B.MoveTo AND #B.OnPos THEN #B.MoveTo:=False; END_IF;</v>
      </c>
    </row>
    <row r="31" spans="1:3" x14ac:dyDescent="0.25">
      <c r="A31" t="s">
        <v>34</v>
      </c>
      <c r="B31" t="s">
        <v>3</v>
      </c>
      <c r="C31" t="str">
        <f>"IF "&amp;A31&amp;" THEN "&amp;B31&amp;"; END_IF;"</f>
        <v>IF #A. THEN #StartPulseCounter.ActValue -= 1; END_IF;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C1F2-0628-4DDB-B4ED-F4826E1F5401}">
  <sheetPr codeName="Sheet8"/>
  <dimension ref="A1:I19"/>
  <sheetViews>
    <sheetView workbookViewId="0">
      <selection activeCell="A15" sqref="A15"/>
    </sheetView>
  </sheetViews>
  <sheetFormatPr defaultColWidth="20.7109375" defaultRowHeight="15" x14ac:dyDescent="0.25"/>
  <cols>
    <col min="1" max="1" width="109.85546875" customWidth="1"/>
    <col min="2" max="2" width="14.7109375" customWidth="1"/>
    <col min="3" max="3" width="29.5703125" customWidth="1"/>
    <col min="4" max="4" width="32.85546875" customWidth="1"/>
    <col min="5" max="5" width="27.85546875" customWidth="1"/>
    <col min="6" max="6" width="33" customWidth="1"/>
    <col min="7" max="7" width="37" customWidth="1"/>
    <col min="8" max="8" width="32.85546875" customWidth="1"/>
    <col min="9" max="9" width="24.85546875" customWidth="1"/>
  </cols>
  <sheetData>
    <row r="1" spans="1:9" s="1" customFormat="1" x14ac:dyDescent="0.25">
      <c r="A1" s="1" t="s">
        <v>13</v>
      </c>
      <c r="B1" s="1" t="s">
        <v>50</v>
      </c>
      <c r="C1" s="1" t="s">
        <v>48</v>
      </c>
      <c r="D1" s="1" t="s">
        <v>49</v>
      </c>
    </row>
    <row r="2" spans="1:9" s="1" customFormat="1" x14ac:dyDescent="0.25"/>
    <row r="3" spans="1:9" x14ac:dyDescent="0.25">
      <c r="A3" t="s">
        <v>46</v>
      </c>
    </row>
    <row r="5" spans="1:9" x14ac:dyDescent="0.25">
      <c r="A5" t="str">
        <f>B5&amp;C5&amp;".Tmr.TON(IN := "&amp;B5&amp;D5&amp;", PT :="&amp;B5&amp;C5&amp;".Tim);"</f>
        <v>#Pos[#n].PosTimer.Tmr.TON(IN := #Pos[#n].Cmd.MoveTo, PT :=#Pos[#n].PosTimer.Tim);</v>
      </c>
      <c r="B5" t="s">
        <v>44</v>
      </c>
      <c r="C5" t="s">
        <v>39</v>
      </c>
      <c r="D5" t="s">
        <v>564</v>
      </c>
    </row>
    <row r="7" spans="1:9" x14ac:dyDescent="0.25">
      <c r="A7" t="str">
        <f>B7&amp;C7&amp;" := "&amp;B7&amp;D7&amp;";"</f>
        <v>#Pos[#n].Alm.Sig := #Pos[#n].PosTimer.Tmr.Q;</v>
      </c>
      <c r="B7" t="s">
        <v>44</v>
      </c>
      <c r="C7" t="s">
        <v>41</v>
      </c>
      <c r="D7" t="s">
        <v>42</v>
      </c>
    </row>
    <row r="9" spans="1:9" x14ac:dyDescent="0.25">
      <c r="A9" t="str">
        <f>B9&amp;C9&amp;".Pul  :=  "&amp;B9&amp;C9&amp;"."&amp;D9&amp;" AND NOT "&amp;B9&amp;C9&amp;".Mem;"&amp;B9&amp;C9&amp;".Mem  :=  "&amp;B9&amp;C9&amp;"."&amp;D9&amp;";"</f>
        <v>#Pos[#n].Alm.Pul  :=  #Pos[#n].Alm.Sig AND NOT #Pos[#n].Alm.Mem;#Pos[#n].Alm.Mem  :=  #Pos[#n].Alm.Sig;</v>
      </c>
      <c r="B9" t="s">
        <v>44</v>
      </c>
      <c r="C9" t="s">
        <v>43</v>
      </c>
      <c r="D9" t="s">
        <v>8</v>
      </c>
    </row>
    <row r="11" spans="1:9" x14ac:dyDescent="0.25">
      <c r="A11" t="str">
        <f>"IF "&amp;C11&amp;" THEN "&amp;D11&amp;"; END_IF;"</f>
        <v>IF #Pos[n].Cmd.MoveTo AND #Pos[n].OnPos.Sig THEN #Pos[n].Cmd.MoveTo := False; END_IF;</v>
      </c>
      <c r="C11" t="s">
        <v>568</v>
      </c>
      <c r="D11" t="s">
        <v>565</v>
      </c>
    </row>
    <row r="13" spans="1:9" x14ac:dyDescent="0.25">
      <c r="A13" t="s">
        <v>47</v>
      </c>
    </row>
    <row r="15" spans="1:9" x14ac:dyDescent="0.25">
      <c r="A15" t="str">
        <f>AndOrEqu()</f>
        <v>#Motor.Dir[#DirForWard].Out := #Pos[#DirForWard].Cmd.MoveTo AND  NOT #Pos[#DirBackWard].Cmd.MoveTo AND  NOT #Pos[#DirForWard].OnPos.Sig AND  NOT #Motor.Dir[#DirForWard].LimitSwitch AND  NOT #Pos[#DirForWard].Alm.Mem AND  NOT #Motor.ThProt.Alm.Mem;</v>
      </c>
      <c r="B15" t="s">
        <v>51</v>
      </c>
      <c r="C15" t="str">
        <f>"#Motor.Dir["&amp;$B15&amp;"].Out"</f>
        <v>#Motor.Dir[#DirForWard].Out</v>
      </c>
      <c r="D15" t="str">
        <f>"#Pos["&amp;B15&amp;"].Cmd.MoveTo"</f>
        <v>#Pos[#DirForWard].Cmd.MoveTo</v>
      </c>
      <c r="E15" s="2" t="s">
        <v>566</v>
      </c>
      <c r="F15" s="2" t="str">
        <f>"#Pos["&amp;B15&amp;"].OnPos.Sig"</f>
        <v>#Pos[#DirForWard].OnPos.Sig</v>
      </c>
      <c r="G15" s="2" t="str">
        <f>"#Motor.Dir["&amp;B15&amp;"].LimitSwitch"</f>
        <v>#Motor.Dir[#DirForWard].LimitSwitch</v>
      </c>
      <c r="H15" s="2" t="str">
        <f>"#Pos["&amp;B15&amp;"].Alm.Mem"</f>
        <v>#Pos[#DirForWard].Alm.Mem</v>
      </c>
      <c r="I15" s="2" t="s">
        <v>45</v>
      </c>
    </row>
    <row r="16" spans="1:9" x14ac:dyDescent="0.25">
      <c r="F16" s="2"/>
      <c r="G16" s="2"/>
      <c r="H16" s="2"/>
      <c r="I16" s="2"/>
    </row>
    <row r="17" spans="1:9" x14ac:dyDescent="0.25">
      <c r="A17" t="str">
        <f>AndOrEqu()</f>
        <v>#Motor.Dir[#DirBackWard].Out := #Pos[#DirBackWard].Cmd.MoveTo AND  NOT #Pos[#DirForWard].Cmd.MoveTo AND  NOT #Pos[#DirBackWard].OnPos.Sig AND  NOT #Motor.Dir[#DirBackWard].LimitSwitch AND  NOT #Pos[#DirBackWard].Alm.Mem AND  NOT #Motor.ThProt.Alm.Mem;</v>
      </c>
      <c r="B17" t="s">
        <v>52</v>
      </c>
      <c r="C17" t="str">
        <f>"#Motor.Dir["&amp;$B17&amp;"].Out"</f>
        <v>#Motor.Dir[#DirBackWard].Out</v>
      </c>
      <c r="D17" t="str">
        <f>"#Pos["&amp;B17&amp;"].Cmd.MoveTo"</f>
        <v>#Pos[#DirBackWard].Cmd.MoveTo</v>
      </c>
      <c r="E17" s="2" t="s">
        <v>567</v>
      </c>
      <c r="F17" s="2" t="str">
        <f>"#Pos["&amp;B17&amp;"].OnPos.Sig"</f>
        <v>#Pos[#DirBackWard].OnPos.Sig</v>
      </c>
      <c r="G17" s="2" t="str">
        <f>"#Motor.Dir["&amp;B17&amp;"].LimitSwitch"</f>
        <v>#Motor.Dir[#DirBackWard].LimitSwitch</v>
      </c>
      <c r="H17" s="2" t="str">
        <f>"#Pos["&amp;B17&amp;"].Alm.Mem"</f>
        <v>#Pos[#DirBackWard].Alm.Mem</v>
      </c>
      <c r="I17" s="2" t="s">
        <v>45</v>
      </c>
    </row>
    <row r="19" spans="1:9" x14ac:dyDescent="0.25">
      <c r="E19" s="2"/>
      <c r="F19" s="2"/>
      <c r="G19" s="2"/>
      <c r="H19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45AA7-0492-425B-8897-41FB9BDEA55D}">
  <sheetPr codeName="Sheet1"/>
  <dimension ref="A1:F33"/>
  <sheetViews>
    <sheetView workbookViewId="0">
      <selection activeCell="E13" sqref="E13"/>
    </sheetView>
  </sheetViews>
  <sheetFormatPr defaultRowHeight="15" x14ac:dyDescent="0.25"/>
  <cols>
    <col min="1" max="1" width="99.42578125" style="4" customWidth="1"/>
    <col min="2" max="2" width="20.7109375" style="7" customWidth="1"/>
    <col min="3" max="3" width="29.7109375" style="4" customWidth="1"/>
    <col min="4" max="4" width="26.140625" customWidth="1"/>
    <col min="5" max="5" width="26.28515625" customWidth="1"/>
    <col min="6" max="6" width="27" customWidth="1"/>
  </cols>
  <sheetData>
    <row r="1" spans="1:6" s="1" customFormat="1" x14ac:dyDescent="0.25">
      <c r="A1" s="3" t="s">
        <v>13</v>
      </c>
      <c r="B1" s="5" t="s">
        <v>50</v>
      </c>
      <c r="C1" s="3" t="s">
        <v>55</v>
      </c>
      <c r="D1" s="1" t="s">
        <v>12</v>
      </c>
    </row>
    <row r="3" spans="1:6" s="1" customFormat="1" x14ac:dyDescent="0.25">
      <c r="A3" s="4" t="str">
        <f>$C3&amp;".Pul  :=  #"&amp;$C3&amp;"."&amp;$D3&amp;" AND NOT #"&amp;$C3&amp;".Mem;IF #"&amp;$C3&amp;".Pul THEN #"&amp;$C3&amp;".Mem:=TRUE;END_IF;"</f>
        <v>EmergencyStop.Alm.Pul  :=  #EmergencyStop.Alm.Inp AND NOT #EmergencyStop.Alm.Mem;IF #EmergencyStop.Alm.Pul THEN #EmergencyStop.Alm.Mem:=TRUE;END_IF;</v>
      </c>
      <c r="B3" s="6" t="s">
        <v>56</v>
      </c>
      <c r="C3" s="4" t="s">
        <v>22</v>
      </c>
      <c r="D3" t="s">
        <v>9</v>
      </c>
    </row>
    <row r="4" spans="1:6" s="1" customFormat="1" x14ac:dyDescent="0.25">
      <c r="A4" s="4"/>
      <c r="B4" s="7"/>
      <c r="C4" s="4"/>
      <c r="D4"/>
    </row>
    <row r="5" spans="1:6" x14ac:dyDescent="0.25">
      <c r="A5" s="4" t="str">
        <f>$C5&amp;".Pul  :=  #"&amp;$C5&amp;"."&amp;$D5&amp;" AND NOT #"&amp;$C5&amp;".Mem;IF #"&amp;$C5&amp;".Pul THEN #"&amp;$C5&amp;".Mem:=TRUE;END_IF;"</f>
        <v>Motor.ThProt.Alm.Pul  :=  #Motor.ThProt.Alm.Inp AND NOT #Motor.ThProt.Alm.Mem;IF #Motor.ThProt.Alm.Pul THEN #Motor.ThProt.Alm.Mem:=TRUE;END_IF;</v>
      </c>
      <c r="B5" s="6" t="s">
        <v>56</v>
      </c>
      <c r="C5" s="4" t="s">
        <v>21</v>
      </c>
      <c r="D5" t="s">
        <v>9</v>
      </c>
    </row>
    <row r="7" spans="1:6" x14ac:dyDescent="0.25">
      <c r="A7" s="8" t="s">
        <v>334</v>
      </c>
      <c r="D7" t="s">
        <v>64</v>
      </c>
    </row>
    <row r="8" spans="1:6" x14ac:dyDescent="0.25">
      <c r="A8" s="8"/>
    </row>
    <row r="9" spans="1:6" x14ac:dyDescent="0.25">
      <c r="A9" s="9" t="s">
        <v>333</v>
      </c>
    </row>
    <row r="11" spans="1:6" x14ac:dyDescent="0.25">
      <c r="A11" s="4" t="str">
        <f>IfBlock()</f>
        <v>IF #Dir[n].Cmd.On AND  NOT #Dir[n].Status.On AND #Dir[n].Interface.Input.Start THEN #Dir[n].Status.On := TRUE;END_IF;</v>
      </c>
      <c r="B11" s="6" t="str">
        <f ca="1">_xlfn.FORMULATEXT(A11)</f>
        <v>=@IfBlock()</v>
      </c>
      <c r="C11" s="4" t="s">
        <v>59</v>
      </c>
      <c r="D11" t="s">
        <v>563</v>
      </c>
      <c r="E11" s="2" t="s">
        <v>60</v>
      </c>
      <c r="F11" t="s">
        <v>61</v>
      </c>
    </row>
    <row r="13" spans="1:6" x14ac:dyDescent="0.25">
      <c r="A13" s="4" t="str">
        <f>IfBlock()</f>
        <v>IF  NOT #Dir[n].Cmd.On AND #Dir[n].Status.On AND #Dir[n].Interface.Input.Stop THEN #Dir[n].Status.On := FALSE;END_IF;</v>
      </c>
      <c r="B13" s="6" t="str">
        <f ca="1">_xlfn.FORMULATEXT(A13)</f>
        <v>=@IfBlock()</v>
      </c>
      <c r="C13" s="4" t="s">
        <v>62</v>
      </c>
      <c r="D13" s="2" t="s">
        <v>563</v>
      </c>
      <c r="E13" t="s">
        <v>60</v>
      </c>
      <c r="F13" t="s">
        <v>63</v>
      </c>
    </row>
    <row r="15" spans="1:6" x14ac:dyDescent="0.25">
      <c r="A15" s="4" t="str">
        <f>IfBlock()</f>
        <v>IF  ( #EmergencyStop.Alm.Inp OR #EmergencyStop.Alm.Mem OR  NOT #Dir[n].Cmd.On )  THEN #Dir[n].Status.On := FALSE;END_IF;</v>
      </c>
      <c r="B15" s="6" t="str">
        <f ca="1">_xlfn.FORMULATEXT(A15)</f>
        <v>=@IfBlock()</v>
      </c>
      <c r="C15" s="4" t="s">
        <v>62</v>
      </c>
      <c r="D15" t="s">
        <v>53</v>
      </c>
    </row>
    <row r="16" spans="1:6" x14ac:dyDescent="0.25">
      <c r="D16" t="s">
        <v>54</v>
      </c>
    </row>
    <row r="17" spans="1:6" x14ac:dyDescent="0.25">
      <c r="A17" s="4" t="str">
        <f>IfBlock()</f>
        <v>IF  NOT #Dir[n].Cmd.On AND #Dir[n].Status.On AND #Dir[n].Interface.Input.Stop THEN #Dir[n].Status.On := FALSE;END_IF;</v>
      </c>
      <c r="B17" s="6" t="str">
        <f ca="1">_xlfn.FORMULATEXT(A17)</f>
        <v>=@IfBlock()</v>
      </c>
      <c r="C17" s="4" t="s">
        <v>62</v>
      </c>
      <c r="D17" s="2" t="s">
        <v>563</v>
      </c>
      <c r="E17" t="s">
        <v>60</v>
      </c>
      <c r="F17" t="s">
        <v>63</v>
      </c>
    </row>
    <row r="19" spans="1:6" x14ac:dyDescent="0.25">
      <c r="A19" s="4" t="str">
        <f>$C19&amp;".Tmr.TON(IN := "&amp;$D19&amp;", PT :="&amp;$C19&amp;".Tim);"</f>
        <v xml:space="preserve"> #Dir[n].MovStart.Tmr.TON(IN := #Dir[n].Status.On, PT := #Dir[n].MovStart.Tim);</v>
      </c>
      <c r="B19" s="6" t="s">
        <v>57</v>
      </c>
      <c r="C19" s="4" t="s">
        <v>65</v>
      </c>
      <c r="D19" t="s">
        <v>60</v>
      </c>
    </row>
    <row r="20" spans="1:6" x14ac:dyDescent="0.25">
      <c r="B20" s="6"/>
    </row>
    <row r="21" spans="1:6" x14ac:dyDescent="0.25">
      <c r="A21" s="4" t="str">
        <f>$C21&amp;".Tmr.TOF(IN := "&amp;$D21&amp;", PT :="&amp;$C21&amp;".Tim);"</f>
        <v xml:space="preserve"> #Dir[n].MovStart.Tmr.TOF(IN := #Dir[n].Status.On, PT := #Dir[n].MovStart.Tim);</v>
      </c>
      <c r="B21" s="6" t="s">
        <v>58</v>
      </c>
      <c r="C21" s="4" t="s">
        <v>65</v>
      </c>
      <c r="D21" t="s">
        <v>60</v>
      </c>
    </row>
    <row r="23" spans="1:6" x14ac:dyDescent="0.25">
      <c r="A23" s="4" t="str">
        <f>AndOrEqu()</f>
        <v>#Dir[n].Interface.Output.Start := #Dir[n].MovStart.Tmr.Q;</v>
      </c>
      <c r="B23" s="6" t="str">
        <f ca="1">_xlfn.FORMULATEXT(A23)</f>
        <v>=@AndOrEqu()</v>
      </c>
      <c r="C23" s="4" t="s">
        <v>66</v>
      </c>
      <c r="D23" t="s">
        <v>67</v>
      </c>
    </row>
    <row r="25" spans="1:6" x14ac:dyDescent="0.25">
      <c r="A25" s="4" t="str">
        <f>AndOrEqu()</f>
        <v>#Dir[n].Interface.Output.Stop :=  NOT #Dir[n].MovStop.Tmr.Q;</v>
      </c>
      <c r="B25" s="6" t="str">
        <f ca="1">_xlfn.FORMULATEXT(A25)</f>
        <v>=@AndOrEqu()</v>
      </c>
      <c r="C25" s="4" t="s">
        <v>68</v>
      </c>
      <c r="D25" s="2" t="s">
        <v>69</v>
      </c>
    </row>
    <row r="27" spans="1:6" x14ac:dyDescent="0.25">
      <c r="A27" s="4" t="str">
        <f>AndOrEqu()</f>
        <v>#Dir[n].Drive.Out := #Dir[n].Status.On AND  NOT #EmergencyStop.Alm.Inp AND  NOT #EmergencyStop.Alm.Mem;</v>
      </c>
      <c r="B27" s="6" t="str">
        <f ca="1">_xlfn.FORMULATEXT(A27)</f>
        <v>=@AndOrEqu()</v>
      </c>
      <c r="C27" s="4" t="s">
        <v>70</v>
      </c>
      <c r="D27" t="s">
        <v>60</v>
      </c>
      <c r="E27" s="2" t="s">
        <v>53</v>
      </c>
      <c r="F27" s="2" t="s">
        <v>54</v>
      </c>
    </row>
    <row r="29" spans="1:6" x14ac:dyDescent="0.25">
      <c r="A29" s="4" t="str">
        <f>AndOrEqu()</f>
        <v>#Dir[n].Status.Released :=  NOT #Dir[n].Cmd.On AND  NOT #Dir[n].Status.On AND  NOT #Dir[n].MovStop.Tmr.Q;</v>
      </c>
      <c r="B29" s="6" t="str">
        <f ca="1">_xlfn.FORMULATEXT(A29)</f>
        <v>=@AndOrEqu()</v>
      </c>
      <c r="C29" s="4" t="s">
        <v>71</v>
      </c>
      <c r="D29" s="2" t="s">
        <v>563</v>
      </c>
      <c r="E29" s="2" t="s">
        <v>60</v>
      </c>
      <c r="F29" s="2" t="s">
        <v>69</v>
      </c>
    </row>
    <row r="31" spans="1:6" x14ac:dyDescent="0.25">
      <c r="A31" s="4" t="str">
        <f>AndOrEqu()</f>
        <v>#Dir[n].Status.On := #Dir[n].Cmd.On AND  NOT #Dir[n].Status.On AND #Dir[n].Interface.Input.Start;</v>
      </c>
      <c r="B31" s="6" t="str">
        <f ca="1">_xlfn.FORMULATEXT(A31)</f>
        <v>=@AndOrEqu()</v>
      </c>
      <c r="C31" s="4" t="s">
        <v>60</v>
      </c>
      <c r="D31" t="s">
        <v>563</v>
      </c>
      <c r="E31" s="2" t="s">
        <v>60</v>
      </c>
      <c r="F31" t="s">
        <v>61</v>
      </c>
    </row>
    <row r="33" spans="1:1" x14ac:dyDescent="0.25">
      <c r="A33" s="8" t="s">
        <v>332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3909-27BB-4F0B-BEDE-50EA33104A8E}">
  <sheetPr codeName="Sheet12"/>
  <dimension ref="A1:D54"/>
  <sheetViews>
    <sheetView tabSelected="1" topLeftCell="A28" workbookViewId="0">
      <selection activeCell="A45" sqref="A45"/>
    </sheetView>
  </sheetViews>
  <sheetFormatPr defaultColWidth="29.85546875" defaultRowHeight="15" x14ac:dyDescent="0.25"/>
  <cols>
    <col min="1" max="1" width="67.140625" customWidth="1"/>
    <col min="2" max="2" width="45.85546875" bestFit="1" customWidth="1"/>
    <col min="3" max="3" width="16.7109375" customWidth="1"/>
    <col min="4" max="4" width="35.42578125" customWidth="1"/>
  </cols>
  <sheetData>
    <row r="1" spans="1:4" x14ac:dyDescent="0.25">
      <c r="A1" s="3" t="s">
        <v>13</v>
      </c>
      <c r="B1" s="5" t="s">
        <v>50</v>
      </c>
      <c r="C1" s="3" t="s">
        <v>365</v>
      </c>
      <c r="D1" s="1" t="s">
        <v>366</v>
      </c>
    </row>
    <row r="3" spans="1:4" x14ac:dyDescent="0.25">
      <c r="A3" t="str">
        <f>B3&amp;" : = "&amp;C3&amp;";"</f>
        <v>Instalation_DB.Belt1.Dir[0].Interface.Input.Start : = False;</v>
      </c>
      <c r="B3" t="s">
        <v>145</v>
      </c>
      <c r="C3" s="13" t="s">
        <v>574</v>
      </c>
    </row>
    <row r="4" spans="1:4" x14ac:dyDescent="0.25">
      <c r="A4" t="str">
        <f t="shared" ref="A4:A13" si="0">B4&amp;" : = "&amp;C4&amp;";"</f>
        <v>Instalation_DB.Belt1.Dir[0].Interface.Input.Stop : = True;</v>
      </c>
      <c r="B4" t="s">
        <v>146</v>
      </c>
      <c r="C4" s="13" t="s">
        <v>572</v>
      </c>
    </row>
    <row r="5" spans="1:4" x14ac:dyDescent="0.25">
      <c r="A5" t="str">
        <f t="shared" si="0"/>
        <v>Instalation_DB.Belt1.Dir[0].Interface.Output.Start : = False;</v>
      </c>
      <c r="B5" t="s">
        <v>147</v>
      </c>
      <c r="C5" s="13" t="s">
        <v>574</v>
      </c>
      <c r="D5" s="13"/>
    </row>
    <row r="6" spans="1:4" x14ac:dyDescent="0.25">
      <c r="A6" t="str">
        <f t="shared" si="0"/>
        <v>Instalation_DB.Belt1.Dir[0].Interface.Output.Stop : = True;</v>
      </c>
      <c r="B6" t="s">
        <v>148</v>
      </c>
      <c r="C6" s="13" t="s">
        <v>572</v>
      </c>
    </row>
    <row r="7" spans="1:4" x14ac:dyDescent="0.25">
      <c r="A7" t="str">
        <f t="shared" si="0"/>
        <v>Instalation_DB.Belt1.Dir[1].Interface.Input.Start : = False;</v>
      </c>
      <c r="B7" t="s">
        <v>163</v>
      </c>
      <c r="C7" s="13" t="s">
        <v>574</v>
      </c>
    </row>
    <row r="8" spans="1:4" x14ac:dyDescent="0.25">
      <c r="A8" t="str">
        <f t="shared" si="0"/>
        <v>Instalation_DB.Belt1.Dir[1].Interface.Input.Stop : = True;</v>
      </c>
      <c r="B8" t="s">
        <v>164</v>
      </c>
      <c r="C8" s="13" t="s">
        <v>572</v>
      </c>
    </row>
    <row r="9" spans="1:4" x14ac:dyDescent="0.25">
      <c r="A9" t="str">
        <f t="shared" si="0"/>
        <v>Instalation_DB.Belt1.Dir[1].Interface.Output.Start : = False;</v>
      </c>
      <c r="B9" t="s">
        <v>165</v>
      </c>
      <c r="C9" s="13" t="s">
        <v>574</v>
      </c>
    </row>
    <row r="10" spans="1:4" x14ac:dyDescent="0.25">
      <c r="A10" t="str">
        <f t="shared" si="0"/>
        <v>Instalation_DB.Belt1.Dir[1].Interface.Output.Stop : = True;</v>
      </c>
      <c r="B10" t="s">
        <v>166</v>
      </c>
      <c r="C10" s="13" t="s">
        <v>572</v>
      </c>
      <c r="D10" s="13"/>
    </row>
    <row r="11" spans="1:4" x14ac:dyDescent="0.25">
      <c r="A11" t="str">
        <f t="shared" si="0"/>
        <v>Instalation_DB.Belt2.Dir[0].Interface.Input.Start : = False;</v>
      </c>
      <c r="B11" t="s">
        <v>207</v>
      </c>
      <c r="C11" s="13" t="s">
        <v>574</v>
      </c>
    </row>
    <row r="12" spans="1:4" x14ac:dyDescent="0.25">
      <c r="A12" t="str">
        <f t="shared" si="0"/>
        <v>Instalation_DB.Belt2.Dir[0].Interface.Input.Stop : = True;</v>
      </c>
      <c r="B12" t="s">
        <v>208</v>
      </c>
      <c r="C12" s="13" t="s">
        <v>572</v>
      </c>
    </row>
    <row r="13" spans="1:4" x14ac:dyDescent="0.25">
      <c r="A13" t="str">
        <f t="shared" si="0"/>
        <v>Instalation_DB.Belt2.Dir[0].Interface.Output.Start : = False;</v>
      </c>
      <c r="B13" t="s">
        <v>209</v>
      </c>
      <c r="C13" s="13" t="s">
        <v>574</v>
      </c>
    </row>
    <row r="14" spans="1:4" x14ac:dyDescent="0.25">
      <c r="A14" t="str">
        <f>B14&amp;" := "&amp;C14&amp;";"</f>
        <v>Instalation_DB.Belt2.Dir[0].Interface.Output.Stop := True;</v>
      </c>
      <c r="B14" t="s">
        <v>210</v>
      </c>
      <c r="C14" s="13" t="s">
        <v>572</v>
      </c>
    </row>
    <row r="15" spans="1:4" x14ac:dyDescent="0.25">
      <c r="A15" t="str">
        <f t="shared" ref="A15:A42" si="1">B15&amp;" := "&amp;C15&amp;";"</f>
        <v>Instalation_DB.Belt2.Dir[1].Interface.Input.Start := False;</v>
      </c>
      <c r="B15" t="s">
        <v>225</v>
      </c>
      <c r="C15" s="13" t="s">
        <v>574</v>
      </c>
    </row>
    <row r="16" spans="1:4" x14ac:dyDescent="0.25">
      <c r="A16" t="str">
        <f t="shared" si="1"/>
        <v>Instalation_DB.Belt2.Dir[1].Interface.Input.Stop := True;</v>
      </c>
      <c r="B16" t="s">
        <v>226</v>
      </c>
      <c r="C16" s="13" t="s">
        <v>572</v>
      </c>
    </row>
    <row r="17" spans="1:3" x14ac:dyDescent="0.25">
      <c r="A17" t="str">
        <f t="shared" si="1"/>
        <v>Instalation_DB.Belt2.Dir[1].Interface.Output.Start := False;</v>
      </c>
      <c r="B17" t="s">
        <v>227</v>
      </c>
      <c r="C17" s="13" t="s">
        <v>574</v>
      </c>
    </row>
    <row r="18" spans="1:3" x14ac:dyDescent="0.25">
      <c r="A18" t="str">
        <f t="shared" si="1"/>
        <v>Instalation_DB.Belt2.Dir[1].Interface.Output.Stop := True;</v>
      </c>
      <c r="B18" t="s">
        <v>228</v>
      </c>
      <c r="C18" s="13" t="s">
        <v>572</v>
      </c>
    </row>
    <row r="19" spans="1:3" x14ac:dyDescent="0.25">
      <c r="A19" t="str">
        <f t="shared" si="1"/>
        <v>Instalation_DB.Belt3.Dir[0].Interface.Input.Start := True;</v>
      </c>
      <c r="B19" t="s">
        <v>269</v>
      </c>
      <c r="C19" s="14" t="s">
        <v>572</v>
      </c>
    </row>
    <row r="20" spans="1:3" x14ac:dyDescent="0.25">
      <c r="A20" t="str">
        <f t="shared" si="1"/>
        <v>Instalation_DB.Belt3.Dir[0].Interface.Input.Stop := True;</v>
      </c>
      <c r="B20" t="s">
        <v>270</v>
      </c>
      <c r="C20" s="13" t="s">
        <v>572</v>
      </c>
    </row>
    <row r="21" spans="1:3" x14ac:dyDescent="0.25">
      <c r="A21" t="str">
        <f t="shared" si="1"/>
        <v>Instalation_DB.Belt3.Dir[0].Interface.Output.Start := False;</v>
      </c>
      <c r="B21" t="s">
        <v>271</v>
      </c>
      <c r="C21" s="13" t="s">
        <v>574</v>
      </c>
    </row>
    <row r="22" spans="1:3" x14ac:dyDescent="0.25">
      <c r="A22" t="str">
        <f t="shared" si="1"/>
        <v>Instalation_DB.Belt3.Dir[0].Interface.Output.Stop := True;</v>
      </c>
      <c r="B22" t="s">
        <v>272</v>
      </c>
      <c r="C22" s="13" t="s">
        <v>572</v>
      </c>
    </row>
    <row r="23" spans="1:3" x14ac:dyDescent="0.25">
      <c r="A23" t="str">
        <f t="shared" si="1"/>
        <v>Instalation_DB.Belt3.Dir[1].Interface.Input.Start := False;</v>
      </c>
      <c r="B23" t="s">
        <v>287</v>
      </c>
      <c r="C23" s="13" t="s">
        <v>574</v>
      </c>
    </row>
    <row r="24" spans="1:3" x14ac:dyDescent="0.25">
      <c r="A24" t="str">
        <f t="shared" si="1"/>
        <v>Instalation_DB.Belt3.Dir[1].Interface.Input.Stop := True;</v>
      </c>
      <c r="B24" t="s">
        <v>288</v>
      </c>
      <c r="C24" s="13" t="s">
        <v>572</v>
      </c>
    </row>
    <row r="25" spans="1:3" x14ac:dyDescent="0.25">
      <c r="A25" t="str">
        <f t="shared" si="1"/>
        <v>Instalation_DB.Belt3.Dir[1].Interface.Output.Start := False;</v>
      </c>
      <c r="B25" t="s">
        <v>289</v>
      </c>
      <c r="C25" s="13" t="s">
        <v>574</v>
      </c>
    </row>
    <row r="26" spans="1:3" x14ac:dyDescent="0.25">
      <c r="A26" t="str">
        <f t="shared" si="1"/>
        <v>Instalation_DB.Belt3.Dir[1].Interface.Output.Stop := True;</v>
      </c>
      <c r="B26" t="s">
        <v>290</v>
      </c>
      <c r="C26" s="13" t="s">
        <v>572</v>
      </c>
    </row>
    <row r="27" spans="1:3" x14ac:dyDescent="0.25">
      <c r="A27" t="str">
        <f t="shared" si="1"/>
        <v>Instalation_DB.Div1.Pos[0].Interface.Input.Start := False;</v>
      </c>
      <c r="B27" t="s">
        <v>404</v>
      </c>
      <c r="C27" s="13" t="s">
        <v>574</v>
      </c>
    </row>
    <row r="28" spans="1:3" x14ac:dyDescent="0.25">
      <c r="A28" t="str">
        <f t="shared" si="1"/>
        <v>Instalation_DB.Div1.Pos[0].Interface.Input.Stop := True;</v>
      </c>
      <c r="B28" t="s">
        <v>405</v>
      </c>
      <c r="C28" s="13" t="s">
        <v>572</v>
      </c>
    </row>
    <row r="29" spans="1:3" x14ac:dyDescent="0.25">
      <c r="A29" t="str">
        <f t="shared" si="1"/>
        <v>Instalation_DB.Div1.Pos[0].Interface.Output.Start := False;</v>
      </c>
      <c r="B29" t="s">
        <v>406</v>
      </c>
      <c r="C29" s="13" t="s">
        <v>574</v>
      </c>
    </row>
    <row r="30" spans="1:3" x14ac:dyDescent="0.25">
      <c r="A30" t="str">
        <f t="shared" si="1"/>
        <v>Instalation_DB.Div1.Pos[0].Interface.Output.Stop := True;</v>
      </c>
      <c r="B30" t="s">
        <v>407</v>
      </c>
      <c r="C30" s="13" t="s">
        <v>572</v>
      </c>
    </row>
    <row r="31" spans="1:3" x14ac:dyDescent="0.25">
      <c r="A31" t="str">
        <f t="shared" si="1"/>
        <v>Instalation_DB.Div1.Pos[1].Interface.Input.Start := False;</v>
      </c>
      <c r="B31" t="s">
        <v>409</v>
      </c>
      <c r="C31" s="13" t="s">
        <v>574</v>
      </c>
    </row>
    <row r="32" spans="1:3" x14ac:dyDescent="0.25">
      <c r="A32" t="str">
        <f t="shared" si="1"/>
        <v>Instalation_DB.Div1.Pos[1].Interface.Input.Stop := True;</v>
      </c>
      <c r="B32" t="s">
        <v>410</v>
      </c>
      <c r="C32" s="13" t="s">
        <v>572</v>
      </c>
    </row>
    <row r="33" spans="1:4" x14ac:dyDescent="0.25">
      <c r="A33" t="str">
        <f t="shared" si="1"/>
        <v>Instalation_DB.Div1.Pos[1].Interface.Output.Start := False;</v>
      </c>
      <c r="B33" t="s">
        <v>411</v>
      </c>
      <c r="C33" s="13" t="s">
        <v>574</v>
      </c>
    </row>
    <row r="34" spans="1:4" x14ac:dyDescent="0.25">
      <c r="A34" t="str">
        <f t="shared" si="1"/>
        <v>Instalation_DB.Div1.Pos[1].Interface.Output.Stop := True;</v>
      </c>
      <c r="B34" t="s">
        <v>412</v>
      </c>
      <c r="C34" s="13" t="s">
        <v>572</v>
      </c>
    </row>
    <row r="35" spans="1:4" x14ac:dyDescent="0.25">
      <c r="A35" t="str">
        <f t="shared" si="1"/>
        <v>Instalation_DB.Belt0.Dir[0].Interface.Input.Start := False;</v>
      </c>
      <c r="B35" t="s">
        <v>427</v>
      </c>
      <c r="C35" s="13" t="s">
        <v>574</v>
      </c>
    </row>
    <row r="36" spans="1:4" x14ac:dyDescent="0.25">
      <c r="A36" t="str">
        <f t="shared" si="1"/>
        <v>Instalation_DB.Belt0.Dir[0].Interface.Input.Stop := True;</v>
      </c>
      <c r="B36" t="s">
        <v>428</v>
      </c>
      <c r="C36" s="13" t="s">
        <v>572</v>
      </c>
    </row>
    <row r="37" spans="1:4" x14ac:dyDescent="0.25">
      <c r="A37" t="str">
        <f t="shared" si="1"/>
        <v>Instalation_DB.Belt0.Dir[0].Interface.Output.Start := False;</v>
      </c>
      <c r="B37" t="s">
        <v>429</v>
      </c>
      <c r="C37" s="13" t="s">
        <v>574</v>
      </c>
    </row>
    <row r="38" spans="1:4" x14ac:dyDescent="0.25">
      <c r="A38" t="str">
        <f t="shared" si="1"/>
        <v>Instalation_DB.Belt0.Dir[0].Interface.Output.Stop := True;</v>
      </c>
      <c r="B38" t="s">
        <v>430</v>
      </c>
      <c r="C38" s="13" t="s">
        <v>572</v>
      </c>
    </row>
    <row r="39" spans="1:4" x14ac:dyDescent="0.25">
      <c r="A39" t="str">
        <f t="shared" si="1"/>
        <v>Instalation_DB.Belt0.Dir[1].Interface.Input.Start := True;</v>
      </c>
      <c r="B39" t="s">
        <v>446</v>
      </c>
      <c r="C39" s="14" t="s">
        <v>572</v>
      </c>
    </row>
    <row r="40" spans="1:4" x14ac:dyDescent="0.25">
      <c r="A40" t="str">
        <f t="shared" si="1"/>
        <v>Instalation_DB.Belt0.Dir[1].Interface.Input.Stop := True;</v>
      </c>
      <c r="B40" t="s">
        <v>447</v>
      </c>
      <c r="C40" s="13" t="s">
        <v>572</v>
      </c>
    </row>
    <row r="41" spans="1:4" x14ac:dyDescent="0.25">
      <c r="A41" t="str">
        <f t="shared" si="1"/>
        <v>Instalation_DB.Belt0.Dir[1].Interface.Output.Start := False;</v>
      </c>
      <c r="B41" t="s">
        <v>448</v>
      </c>
      <c r="C41" s="13" t="s">
        <v>574</v>
      </c>
    </row>
    <row r="42" spans="1:4" x14ac:dyDescent="0.25">
      <c r="A42" t="str">
        <f t="shared" si="1"/>
        <v>Instalation_DB.Belt0.Dir[1].Interface.Output.Stop := True;</v>
      </c>
      <c r="B42" t="s">
        <v>449</v>
      </c>
      <c r="C42" s="13" t="s">
        <v>572</v>
      </c>
    </row>
    <row r="44" spans="1:4" x14ac:dyDescent="0.25">
      <c r="A44" s="3" t="s">
        <v>13</v>
      </c>
      <c r="B44" s="5" t="s">
        <v>50</v>
      </c>
      <c r="C44" s="3" t="s">
        <v>365</v>
      </c>
      <c r="D44" s="1" t="s">
        <v>366</v>
      </c>
    </row>
    <row r="45" spans="1:4" x14ac:dyDescent="0.25">
      <c r="A45" t="str">
        <f>B45&amp;"."&amp;C45&amp;".Interface.Input.Start  := "&amp;B45&amp;"."&amp;C45&amp;".Interface.Input.Start OR "&amp;B45&amp;"."&amp;D45&amp;".Interface.Output.Start ; "&amp;B45&amp;"."&amp;D45&amp;".Interface.Input.Stop  := "&amp;B45&amp;"."&amp;D45&amp;".Interface.Input.Stop  AND "&amp;B45&amp;"."&amp;C45&amp;".Interface.Output.Stop;"</f>
        <v>Instalation_DB.Belt0.Dir[0].Interface.Input.Start  := Instalation_DB.Belt0.Dir[0].Interface.Input.Start OR Instalation_DB.Div1.Pos[0].Interface.Output.Start ; Instalation_DB.Div1.Pos[0].Interface.Input.Stop  := Instalation_DB.Div1.Pos[0].Interface.Input.Stop  AND Instalation_DB.Belt0.Dir[0].Interface.Output.Stop;</v>
      </c>
      <c r="B45" t="s">
        <v>144</v>
      </c>
      <c r="C45" t="s">
        <v>415</v>
      </c>
      <c r="D45" s="13" t="s">
        <v>414</v>
      </c>
    </row>
    <row r="46" spans="1:4" x14ac:dyDescent="0.25">
      <c r="A46" t="str">
        <f t="shared" ref="A46:A48" si="2">B46&amp;"."&amp;C46&amp;".Interface.Input.Start  := "&amp;B46&amp;"."&amp;C46&amp;".Interface.Input.Start OR "&amp;B46&amp;"."&amp;D46&amp;".Interface.Output.Start ; "&amp;B46&amp;"."&amp;D46&amp;".Interface.Input.Stop  := "&amp;B46&amp;"."&amp;D46&amp;".Interface.Input.Stop  AND "&amp;B46&amp;"."&amp;C46&amp;".Interface.Output.Stop;"</f>
        <v>Instalation_DB.Div1.Pos[0].Interface.Input.Start  := Instalation_DB.Div1.Pos[0].Interface.Input.Start OR Instalation_DB.Belt1.Dir[0].Interface.Output.Start ; Instalation_DB.Belt1.Dir[0].Interface.Input.Stop  := Instalation_DB.Belt1.Dir[0].Interface.Input.Stop  AND Instalation_DB.Div1.Pos[0].Interface.Output.Stop;</v>
      </c>
      <c r="B46" t="s">
        <v>144</v>
      </c>
      <c r="C46" s="13" t="str">
        <f>+D45</f>
        <v>Div1.Pos[0]</v>
      </c>
      <c r="D46" t="s">
        <v>367</v>
      </c>
    </row>
    <row r="47" spans="1:4" x14ac:dyDescent="0.25">
      <c r="A47" t="str">
        <f t="shared" si="2"/>
        <v>Instalation_DB.Belt1.Dir[0].Interface.Input.Start  := Instalation_DB.Belt1.Dir[0].Interface.Input.Start OR Instalation_DB.Belt2.Dir[0].Interface.Output.Start ; Instalation_DB.Belt2.Dir[0].Interface.Input.Stop  := Instalation_DB.Belt2.Dir[0].Interface.Input.Stop  AND Instalation_DB.Belt1.Dir[0].Interface.Output.Stop;</v>
      </c>
      <c r="B47" t="s">
        <v>144</v>
      </c>
      <c r="C47" t="str">
        <f>+D46</f>
        <v>Belt1.Dir[0]</v>
      </c>
      <c r="D47" t="s">
        <v>368</v>
      </c>
    </row>
    <row r="48" spans="1:4" x14ac:dyDescent="0.25">
      <c r="A48" t="str">
        <f t="shared" si="2"/>
        <v>Instalation_DB.Belt2.Dir[0].Interface.Input.Start  := Instalation_DB.Belt2.Dir[0].Interface.Input.Start OR Instalation_DB.Belt3.Dir[0].Interface.Output.Start ; Instalation_DB.Belt3.Dir[0].Interface.Input.Stop  := Instalation_DB.Belt3.Dir[0].Interface.Input.Stop  AND Instalation_DB.Belt2.Dir[0].Interface.Output.Stop;</v>
      </c>
      <c r="B48" t="s">
        <v>144</v>
      </c>
      <c r="C48" t="str">
        <f t="shared" ref="C48" si="3">+D47</f>
        <v>Belt2.Dir[0]</v>
      </c>
      <c r="D48" t="s">
        <v>371</v>
      </c>
    </row>
    <row r="49" spans="1:4" x14ac:dyDescent="0.25">
      <c r="D49" s="13"/>
    </row>
    <row r="50" spans="1:4" x14ac:dyDescent="0.25">
      <c r="A50" t="str">
        <f t="shared" ref="A50" si="4">B50&amp;"."&amp;C50&amp;".Interface.Input.Start  := "&amp;B50&amp;"."&amp;C50&amp;".Interface.Input.Start OR "&amp;B50&amp;"."&amp;D50&amp;".Interface.Output.Start ; "&amp;B50&amp;"."&amp;D50&amp;".Interface.Input.Stop  := "&amp;B50&amp;"."&amp;D50&amp;".Interface.Input.Stop  AND "&amp;B50&amp;"."&amp;C50&amp;".Interface.Output.Stop;"</f>
        <v>Instalation_DB.Belt0.Dir[0].Interface.Input.Start  := Instalation_DB.Belt0.Dir[0].Interface.Input.Start OR Instalation_DB.Div1.Pos[1].Interface.Output.Start ; Instalation_DB.Div1.Pos[1].Interface.Input.Stop  := Instalation_DB.Div1.Pos[1].Interface.Input.Stop  AND Instalation_DB.Belt0.Dir[0].Interface.Output.Stop;</v>
      </c>
      <c r="B50" t="s">
        <v>144</v>
      </c>
      <c r="C50" t="s">
        <v>415</v>
      </c>
      <c r="D50" s="13" t="s">
        <v>573</v>
      </c>
    </row>
    <row r="52" spans="1:4" x14ac:dyDescent="0.25">
      <c r="A52" t="str">
        <f t="shared" ref="A52:A54" si="5">B52&amp;"."&amp;C52&amp;".Interface.Input.Start  := "&amp;B52&amp;"."&amp;C52&amp;".Interface.Input.Start OR "&amp;B52&amp;"."&amp;D52&amp;".Interface.Output.Start ; "&amp;B52&amp;"."&amp;D52&amp;".Interface.Input.Stop  := "&amp;B52&amp;"."&amp;D52&amp;".Interface.Input.Stop  AND "&amp;B52&amp;"."&amp;C52&amp;".Interface.Output.Stop;"</f>
        <v>Instalation_DB.Belt3.Dir[1].Interface.Input.Start  := Instalation_DB.Belt3.Dir[1].Interface.Input.Start OR Instalation_DB.Belt2.Dir[1].Interface.Output.Start ; Instalation_DB.Belt2.Dir[1].Interface.Input.Stop  := Instalation_DB.Belt2.Dir[1].Interface.Input.Stop  AND Instalation_DB.Belt3.Dir[1].Interface.Output.Stop;</v>
      </c>
      <c r="B52" t="s">
        <v>144</v>
      </c>
      <c r="C52" t="s">
        <v>370</v>
      </c>
      <c r="D52" t="s">
        <v>369</v>
      </c>
    </row>
    <row r="53" spans="1:4" x14ac:dyDescent="0.25">
      <c r="A53" t="str">
        <f t="shared" si="5"/>
        <v>Instalation_DB.Belt2.Dir[1].Interface.Input.Start  := Instalation_DB.Belt2.Dir[1].Interface.Input.Start OR Instalation_DB.Belt2.Dir[1].Interface.Output.Start ; Instalation_DB.Belt2.Dir[1].Interface.Input.Stop  := Instalation_DB.Belt2.Dir[1].Interface.Input.Stop  AND Instalation_DB.Belt2.Dir[1].Interface.Output.Stop;</v>
      </c>
      <c r="B53" t="s">
        <v>144</v>
      </c>
      <c r="C53" s="13" t="str">
        <f t="shared" ref="C53:C54" si="6">+D52</f>
        <v>Belt2.Dir[1]</v>
      </c>
      <c r="D53" t="s">
        <v>369</v>
      </c>
    </row>
    <row r="54" spans="1:4" x14ac:dyDescent="0.25">
      <c r="A54" t="str">
        <f t="shared" si="5"/>
        <v>Instalation_DB.Belt2.Dir[1].Interface.Input.Start  := Instalation_DB.Belt2.Dir[1].Interface.Input.Start OR Instalation_DB.Div1.Pos[1].Interface.Output.Start ; Instalation_DB.Div1.Pos[1].Interface.Input.Stop  := Instalation_DB.Div1.Pos[1].Interface.Input.Stop  AND Instalation_DB.Belt2.Dir[1].Interface.Output.Stop;</v>
      </c>
      <c r="B54" t="s">
        <v>144</v>
      </c>
      <c r="C54" s="13" t="str">
        <f t="shared" si="6"/>
        <v>Belt2.Dir[1]</v>
      </c>
      <c r="D54" s="13" t="s">
        <v>573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123C-4611-4E00-A4D2-8326CBFF0882}">
  <sheetPr codeName="Sheet5"/>
  <dimension ref="A1:C529"/>
  <sheetViews>
    <sheetView topLeftCell="A46" workbookViewId="0">
      <selection activeCell="E13" sqref="E13"/>
    </sheetView>
  </sheetViews>
  <sheetFormatPr defaultRowHeight="15" x14ac:dyDescent="0.25"/>
  <cols>
    <col min="1" max="1" width="14" bestFit="1" customWidth="1"/>
    <col min="2" max="2" width="18.7109375" bestFit="1" customWidth="1"/>
    <col min="3" max="3" width="23" customWidth="1"/>
    <col min="4" max="4" width="18.7109375" bestFit="1" customWidth="1"/>
    <col min="5" max="5" width="20.7109375" customWidth="1"/>
    <col min="6" max="6" width="18.7109375" bestFit="1" customWidth="1"/>
    <col min="7" max="7" width="13.28515625" bestFit="1" customWidth="1"/>
    <col min="8" max="8" width="10.140625" bestFit="1" customWidth="1"/>
    <col min="9" max="9" width="5.5703125" bestFit="1" customWidth="1"/>
    <col min="10" max="10" width="5.42578125" bestFit="1" customWidth="1"/>
  </cols>
  <sheetData>
    <row r="1" spans="1:3" x14ac:dyDescent="0.25">
      <c r="A1" t="s">
        <v>144</v>
      </c>
    </row>
    <row r="2" spans="1:3" x14ac:dyDescent="0.25">
      <c r="B2" t="s">
        <v>113</v>
      </c>
      <c r="C2" t="s">
        <v>142</v>
      </c>
    </row>
    <row r="3" spans="1:3" x14ac:dyDescent="0.25">
      <c r="B3" t="s">
        <v>114</v>
      </c>
      <c r="C3" t="s">
        <v>115</v>
      </c>
    </row>
    <row r="4" spans="1:3" x14ac:dyDescent="0.25">
      <c r="B4" t="s">
        <v>116</v>
      </c>
      <c r="C4" t="s">
        <v>77</v>
      </c>
    </row>
    <row r="5" spans="1:3" x14ac:dyDescent="0.25">
      <c r="B5" t="s">
        <v>12</v>
      </c>
      <c r="C5" t="s">
        <v>77</v>
      </c>
    </row>
    <row r="6" spans="1:3" x14ac:dyDescent="0.25">
      <c r="B6" t="s">
        <v>16</v>
      </c>
      <c r="C6" t="s">
        <v>74</v>
      </c>
    </row>
    <row r="7" spans="1:3" x14ac:dyDescent="0.25">
      <c r="B7" t="s">
        <v>117</v>
      </c>
      <c r="C7" t="s">
        <v>74</v>
      </c>
    </row>
    <row r="8" spans="1:3" x14ac:dyDescent="0.25">
      <c r="B8" t="s">
        <v>55</v>
      </c>
      <c r="C8" t="s">
        <v>77</v>
      </c>
    </row>
    <row r="9" spans="1:3" x14ac:dyDescent="0.25">
      <c r="B9" t="s">
        <v>16</v>
      </c>
      <c r="C9" t="s">
        <v>74</v>
      </c>
    </row>
    <row r="10" spans="1:3" x14ac:dyDescent="0.25">
      <c r="B10" t="s">
        <v>117</v>
      </c>
      <c r="C10" t="s">
        <v>74</v>
      </c>
    </row>
    <row r="11" spans="1:3" x14ac:dyDescent="0.25">
      <c r="B11" t="s">
        <v>118</v>
      </c>
      <c r="C11" t="s">
        <v>77</v>
      </c>
    </row>
    <row r="12" spans="1:3" x14ac:dyDescent="0.25">
      <c r="B12" t="s">
        <v>9</v>
      </c>
      <c r="C12" t="s">
        <v>74</v>
      </c>
    </row>
    <row r="13" spans="1:3" x14ac:dyDescent="0.25">
      <c r="B13" t="s">
        <v>119</v>
      </c>
      <c r="C13" t="s">
        <v>77</v>
      </c>
    </row>
    <row r="14" spans="1:3" x14ac:dyDescent="0.25">
      <c r="B14" t="s">
        <v>120</v>
      </c>
      <c r="C14" t="s">
        <v>74</v>
      </c>
    </row>
    <row r="15" spans="1:3" x14ac:dyDescent="0.25">
      <c r="B15" t="s">
        <v>121</v>
      </c>
      <c r="C15" t="s">
        <v>74</v>
      </c>
    </row>
    <row r="16" spans="1:3" x14ac:dyDescent="0.25">
      <c r="B16" t="s">
        <v>417</v>
      </c>
      <c r="C16" t="s">
        <v>77</v>
      </c>
    </row>
    <row r="17" spans="2:3" x14ac:dyDescent="0.25">
      <c r="B17" t="s">
        <v>120</v>
      </c>
      <c r="C17" t="s">
        <v>74</v>
      </c>
    </row>
    <row r="18" spans="2:3" x14ac:dyDescent="0.25">
      <c r="B18" t="s">
        <v>122</v>
      </c>
      <c r="C18" t="s">
        <v>77</v>
      </c>
    </row>
    <row r="19" spans="2:3" x14ac:dyDescent="0.25">
      <c r="B19" t="s">
        <v>123</v>
      </c>
      <c r="C19" t="s">
        <v>74</v>
      </c>
    </row>
    <row r="20" spans="2:3" x14ac:dyDescent="0.25">
      <c r="B20" t="s">
        <v>124</v>
      </c>
      <c r="C20" t="s">
        <v>125</v>
      </c>
    </row>
    <row r="21" spans="2:3" x14ac:dyDescent="0.25">
      <c r="B21" t="s">
        <v>75</v>
      </c>
      <c r="C21" t="s">
        <v>78</v>
      </c>
    </row>
    <row r="22" spans="2:3" x14ac:dyDescent="0.25">
      <c r="B22" t="s">
        <v>79</v>
      </c>
      <c r="C22" t="s">
        <v>80</v>
      </c>
    </row>
    <row r="23" spans="2:3" x14ac:dyDescent="0.25">
      <c r="B23" t="s">
        <v>81</v>
      </c>
      <c r="C23" t="s">
        <v>80</v>
      </c>
    </row>
    <row r="24" spans="2:3" x14ac:dyDescent="0.25">
      <c r="B24" t="s">
        <v>82</v>
      </c>
      <c r="C24" t="s">
        <v>74</v>
      </c>
    </row>
    <row r="25" spans="2:3" x14ac:dyDescent="0.25">
      <c r="B25" t="s">
        <v>83</v>
      </c>
      <c r="C25" t="s">
        <v>74</v>
      </c>
    </row>
    <row r="26" spans="2:3" x14ac:dyDescent="0.25">
      <c r="B26" t="s">
        <v>76</v>
      </c>
      <c r="C26" t="s">
        <v>80</v>
      </c>
    </row>
    <row r="27" spans="2:3" x14ac:dyDescent="0.25">
      <c r="B27" t="s">
        <v>126</v>
      </c>
      <c r="C27" t="s">
        <v>125</v>
      </c>
    </row>
    <row r="28" spans="2:3" x14ac:dyDescent="0.25">
      <c r="B28" t="s">
        <v>75</v>
      </c>
      <c r="C28" t="s">
        <v>78</v>
      </c>
    </row>
    <row r="29" spans="2:3" x14ac:dyDescent="0.25">
      <c r="B29" t="s">
        <v>79</v>
      </c>
      <c r="C29" t="s">
        <v>80</v>
      </c>
    </row>
    <row r="30" spans="2:3" x14ac:dyDescent="0.25">
      <c r="B30" t="s">
        <v>81</v>
      </c>
      <c r="C30" t="s">
        <v>80</v>
      </c>
    </row>
    <row r="31" spans="2:3" x14ac:dyDescent="0.25">
      <c r="B31" t="s">
        <v>82</v>
      </c>
      <c r="C31" t="s">
        <v>74</v>
      </c>
    </row>
    <row r="32" spans="2:3" x14ac:dyDescent="0.25">
      <c r="B32" t="s">
        <v>83</v>
      </c>
      <c r="C32" t="s">
        <v>74</v>
      </c>
    </row>
    <row r="33" spans="2:3" x14ac:dyDescent="0.25">
      <c r="B33" t="s">
        <v>76</v>
      </c>
      <c r="C33" t="s">
        <v>80</v>
      </c>
    </row>
    <row r="34" spans="2:3" x14ac:dyDescent="0.25">
      <c r="B34" t="s">
        <v>127</v>
      </c>
      <c r="C34" t="s">
        <v>115</v>
      </c>
    </row>
    <row r="35" spans="2:3" x14ac:dyDescent="0.25">
      <c r="B35" t="s">
        <v>116</v>
      </c>
      <c r="C35" t="s">
        <v>77</v>
      </c>
    </row>
    <row r="36" spans="2:3" x14ac:dyDescent="0.25">
      <c r="B36" t="s">
        <v>12</v>
      </c>
      <c r="C36" t="s">
        <v>77</v>
      </c>
    </row>
    <row r="37" spans="2:3" x14ac:dyDescent="0.25">
      <c r="B37" t="s">
        <v>16</v>
      </c>
      <c r="C37" t="s">
        <v>74</v>
      </c>
    </row>
    <row r="38" spans="2:3" x14ac:dyDescent="0.25">
      <c r="B38" t="s">
        <v>117</v>
      </c>
      <c r="C38" t="s">
        <v>74</v>
      </c>
    </row>
    <row r="39" spans="2:3" x14ac:dyDescent="0.25">
      <c r="B39" t="s">
        <v>55</v>
      </c>
      <c r="C39" t="s">
        <v>77</v>
      </c>
    </row>
    <row r="40" spans="2:3" x14ac:dyDescent="0.25">
      <c r="B40" t="s">
        <v>16</v>
      </c>
      <c r="C40" t="s">
        <v>74</v>
      </c>
    </row>
    <row r="41" spans="2:3" x14ac:dyDescent="0.25">
      <c r="B41" t="s">
        <v>117</v>
      </c>
      <c r="C41" t="s">
        <v>74</v>
      </c>
    </row>
    <row r="42" spans="2:3" x14ac:dyDescent="0.25">
      <c r="B42" t="s">
        <v>118</v>
      </c>
      <c r="C42" t="s">
        <v>77</v>
      </c>
    </row>
    <row r="43" spans="2:3" x14ac:dyDescent="0.25">
      <c r="B43" t="s">
        <v>9</v>
      </c>
      <c r="C43" t="s">
        <v>74</v>
      </c>
    </row>
    <row r="44" spans="2:3" x14ac:dyDescent="0.25">
      <c r="B44" t="s">
        <v>119</v>
      </c>
      <c r="C44" t="s">
        <v>77</v>
      </c>
    </row>
    <row r="45" spans="2:3" x14ac:dyDescent="0.25">
      <c r="B45" t="s">
        <v>120</v>
      </c>
      <c r="C45" t="s">
        <v>74</v>
      </c>
    </row>
    <row r="46" spans="2:3" x14ac:dyDescent="0.25">
      <c r="B46" t="s">
        <v>121</v>
      </c>
      <c r="C46" t="s">
        <v>74</v>
      </c>
    </row>
    <row r="47" spans="2:3" x14ac:dyDescent="0.25">
      <c r="B47" t="s">
        <v>417</v>
      </c>
      <c r="C47" t="s">
        <v>77</v>
      </c>
    </row>
    <row r="48" spans="2:3" x14ac:dyDescent="0.25">
      <c r="B48" t="s">
        <v>120</v>
      </c>
      <c r="C48" t="s">
        <v>74</v>
      </c>
    </row>
    <row r="49" spans="2:3" x14ac:dyDescent="0.25">
      <c r="B49" t="s">
        <v>122</v>
      </c>
      <c r="C49" t="s">
        <v>77</v>
      </c>
    </row>
    <row r="50" spans="2:3" x14ac:dyDescent="0.25">
      <c r="B50" t="s">
        <v>123</v>
      </c>
      <c r="C50" t="s">
        <v>74</v>
      </c>
    </row>
    <row r="51" spans="2:3" x14ac:dyDescent="0.25">
      <c r="B51" t="s">
        <v>124</v>
      </c>
      <c r="C51" t="s">
        <v>125</v>
      </c>
    </row>
    <row r="52" spans="2:3" x14ac:dyDescent="0.25">
      <c r="B52" t="s">
        <v>75</v>
      </c>
      <c r="C52" t="s">
        <v>78</v>
      </c>
    </row>
    <row r="53" spans="2:3" x14ac:dyDescent="0.25">
      <c r="B53" t="s">
        <v>79</v>
      </c>
      <c r="C53" t="s">
        <v>80</v>
      </c>
    </row>
    <row r="54" spans="2:3" x14ac:dyDescent="0.25">
      <c r="B54" t="s">
        <v>81</v>
      </c>
      <c r="C54" t="s">
        <v>80</v>
      </c>
    </row>
    <row r="55" spans="2:3" x14ac:dyDescent="0.25">
      <c r="B55" t="s">
        <v>82</v>
      </c>
      <c r="C55" t="s">
        <v>74</v>
      </c>
    </row>
    <row r="56" spans="2:3" x14ac:dyDescent="0.25">
      <c r="B56" t="s">
        <v>83</v>
      </c>
      <c r="C56" t="s">
        <v>74</v>
      </c>
    </row>
    <row r="57" spans="2:3" x14ac:dyDescent="0.25">
      <c r="B57" t="s">
        <v>76</v>
      </c>
      <c r="C57" t="s">
        <v>80</v>
      </c>
    </row>
    <row r="58" spans="2:3" x14ac:dyDescent="0.25">
      <c r="B58" t="s">
        <v>126</v>
      </c>
      <c r="C58" t="s">
        <v>125</v>
      </c>
    </row>
    <row r="59" spans="2:3" x14ac:dyDescent="0.25">
      <c r="B59" t="s">
        <v>75</v>
      </c>
      <c r="C59" t="s">
        <v>78</v>
      </c>
    </row>
    <row r="60" spans="2:3" x14ac:dyDescent="0.25">
      <c r="B60" t="s">
        <v>79</v>
      </c>
      <c r="C60" t="s">
        <v>80</v>
      </c>
    </row>
    <row r="61" spans="2:3" x14ac:dyDescent="0.25">
      <c r="B61" t="s">
        <v>81</v>
      </c>
      <c r="C61" t="s">
        <v>80</v>
      </c>
    </row>
    <row r="62" spans="2:3" x14ac:dyDescent="0.25">
      <c r="B62" t="s">
        <v>82</v>
      </c>
      <c r="C62" t="s">
        <v>74</v>
      </c>
    </row>
    <row r="63" spans="2:3" x14ac:dyDescent="0.25">
      <c r="B63" t="s">
        <v>83</v>
      </c>
      <c r="C63" t="s">
        <v>74</v>
      </c>
    </row>
    <row r="64" spans="2:3" x14ac:dyDescent="0.25">
      <c r="B64" t="s">
        <v>76</v>
      </c>
      <c r="C64" t="s">
        <v>80</v>
      </c>
    </row>
    <row r="65" spans="2:3" x14ac:dyDescent="0.25">
      <c r="B65" t="s">
        <v>128</v>
      </c>
      <c r="C65" t="s">
        <v>129</v>
      </c>
    </row>
    <row r="66" spans="2:3" x14ac:dyDescent="0.25">
      <c r="B66" t="s">
        <v>16</v>
      </c>
      <c r="C66" t="s">
        <v>130</v>
      </c>
    </row>
    <row r="67" spans="2:3" x14ac:dyDescent="0.25">
      <c r="B67" t="s">
        <v>8</v>
      </c>
      <c r="C67" t="s">
        <v>74</v>
      </c>
    </row>
    <row r="68" spans="2:3" x14ac:dyDescent="0.25">
      <c r="B68" t="s">
        <v>72</v>
      </c>
      <c r="C68" t="s">
        <v>74</v>
      </c>
    </row>
    <row r="69" spans="2:3" x14ac:dyDescent="0.25">
      <c r="B69" t="s">
        <v>73</v>
      </c>
      <c r="C69" t="s">
        <v>74</v>
      </c>
    </row>
    <row r="70" spans="2:3" x14ac:dyDescent="0.25">
      <c r="B70" t="s">
        <v>1</v>
      </c>
      <c r="C70" t="s">
        <v>84</v>
      </c>
    </row>
    <row r="71" spans="2:3" x14ac:dyDescent="0.25">
      <c r="B71" t="s">
        <v>9</v>
      </c>
      <c r="C71" t="s">
        <v>74</v>
      </c>
    </row>
    <row r="72" spans="2:3" x14ac:dyDescent="0.25">
      <c r="B72" t="s">
        <v>72</v>
      </c>
      <c r="C72" t="s">
        <v>74</v>
      </c>
    </row>
    <row r="73" spans="2:3" x14ac:dyDescent="0.25">
      <c r="B73" t="s">
        <v>73</v>
      </c>
      <c r="C73" t="s">
        <v>74</v>
      </c>
    </row>
    <row r="74" spans="2:3" x14ac:dyDescent="0.25">
      <c r="B74" t="s">
        <v>2</v>
      </c>
      <c r="C74" t="s">
        <v>85</v>
      </c>
    </row>
    <row r="75" spans="2:3" x14ac:dyDescent="0.25">
      <c r="B75" t="s">
        <v>10</v>
      </c>
      <c r="C75" t="s">
        <v>74</v>
      </c>
    </row>
    <row r="76" spans="2:3" x14ac:dyDescent="0.25">
      <c r="B76" t="s">
        <v>72</v>
      </c>
      <c r="C76" t="s">
        <v>74</v>
      </c>
    </row>
    <row r="77" spans="2:3" x14ac:dyDescent="0.25">
      <c r="B77" t="s">
        <v>73</v>
      </c>
      <c r="C77" t="s">
        <v>74</v>
      </c>
    </row>
    <row r="78" spans="2:3" x14ac:dyDescent="0.25">
      <c r="B78" t="s">
        <v>131</v>
      </c>
      <c r="C78" t="s">
        <v>77</v>
      </c>
    </row>
    <row r="79" spans="2:3" x14ac:dyDescent="0.25">
      <c r="B79" t="s">
        <v>132</v>
      </c>
      <c r="C79" t="s">
        <v>74</v>
      </c>
    </row>
    <row r="80" spans="2:3" x14ac:dyDescent="0.25">
      <c r="B80" t="s">
        <v>14</v>
      </c>
      <c r="C80" t="s">
        <v>77</v>
      </c>
    </row>
    <row r="81" spans="2:3" x14ac:dyDescent="0.25">
      <c r="B81" t="s">
        <v>133</v>
      </c>
      <c r="C81" t="s">
        <v>134</v>
      </c>
    </row>
    <row r="82" spans="2:3" x14ac:dyDescent="0.25">
      <c r="B82" t="s">
        <v>135</v>
      </c>
      <c r="C82" t="s">
        <v>134</v>
      </c>
    </row>
    <row r="83" spans="2:3" x14ac:dyDescent="0.25">
      <c r="B83" t="s">
        <v>15</v>
      </c>
      <c r="C83" t="s">
        <v>77</v>
      </c>
    </row>
    <row r="84" spans="2:3" x14ac:dyDescent="0.25">
      <c r="B84" t="s">
        <v>133</v>
      </c>
      <c r="C84" t="s">
        <v>134</v>
      </c>
    </row>
    <row r="85" spans="2:3" x14ac:dyDescent="0.25">
      <c r="B85" t="s">
        <v>135</v>
      </c>
      <c r="C85" t="s">
        <v>134</v>
      </c>
    </row>
    <row r="86" spans="2:3" x14ac:dyDescent="0.25">
      <c r="B86" t="s">
        <v>5</v>
      </c>
      <c r="C86" t="s">
        <v>77</v>
      </c>
    </row>
    <row r="87" spans="2:3" x14ac:dyDescent="0.25">
      <c r="B87" t="s">
        <v>133</v>
      </c>
      <c r="C87" t="s">
        <v>134</v>
      </c>
    </row>
    <row r="88" spans="2:3" x14ac:dyDescent="0.25">
      <c r="B88" t="s">
        <v>135</v>
      </c>
      <c r="C88" t="s">
        <v>134</v>
      </c>
    </row>
    <row r="89" spans="2:3" x14ac:dyDescent="0.25">
      <c r="B89" t="s">
        <v>136</v>
      </c>
      <c r="C89" t="s">
        <v>77</v>
      </c>
    </row>
    <row r="90" spans="2:3" x14ac:dyDescent="0.25">
      <c r="B90" t="s">
        <v>43</v>
      </c>
      <c r="C90" t="s">
        <v>137</v>
      </c>
    </row>
    <row r="91" spans="2:3" x14ac:dyDescent="0.25">
      <c r="B91" t="s">
        <v>8</v>
      </c>
      <c r="C91" t="s">
        <v>74</v>
      </c>
    </row>
    <row r="92" spans="2:3" x14ac:dyDescent="0.25">
      <c r="B92" t="s">
        <v>72</v>
      </c>
      <c r="C92" t="s">
        <v>74</v>
      </c>
    </row>
    <row r="93" spans="2:3" x14ac:dyDescent="0.25">
      <c r="B93" t="s">
        <v>73</v>
      </c>
      <c r="C93" t="s">
        <v>74</v>
      </c>
    </row>
    <row r="94" spans="2:3" x14ac:dyDescent="0.25">
      <c r="B94" t="s">
        <v>138</v>
      </c>
      <c r="C94" t="s">
        <v>74</v>
      </c>
    </row>
    <row r="95" spans="2:3" x14ac:dyDescent="0.25">
      <c r="B95" t="s">
        <v>139</v>
      </c>
      <c r="C95" t="s">
        <v>77</v>
      </c>
    </row>
    <row r="96" spans="2:3" x14ac:dyDescent="0.25">
      <c r="B96" t="s">
        <v>114</v>
      </c>
      <c r="C96" t="s">
        <v>115</v>
      </c>
    </row>
    <row r="97" spans="2:3" x14ac:dyDescent="0.25">
      <c r="B97" t="s">
        <v>120</v>
      </c>
      <c r="C97" t="s">
        <v>74</v>
      </c>
    </row>
    <row r="98" spans="2:3" x14ac:dyDescent="0.25">
      <c r="B98" t="s">
        <v>127</v>
      </c>
      <c r="C98" t="s">
        <v>115</v>
      </c>
    </row>
    <row r="99" spans="2:3" x14ac:dyDescent="0.25">
      <c r="B99" t="s">
        <v>120</v>
      </c>
      <c r="C99" t="s">
        <v>74</v>
      </c>
    </row>
    <row r="100" spans="2:3" x14ac:dyDescent="0.25">
      <c r="B100" t="s">
        <v>120</v>
      </c>
      <c r="C100" t="s">
        <v>74</v>
      </c>
    </row>
    <row r="101" spans="2:3" x14ac:dyDescent="0.25">
      <c r="B101" t="s">
        <v>86</v>
      </c>
      <c r="C101" t="s">
        <v>77</v>
      </c>
    </row>
    <row r="102" spans="2:3" x14ac:dyDescent="0.25">
      <c r="B102" t="s">
        <v>43</v>
      </c>
      <c r="C102" t="s">
        <v>84</v>
      </c>
    </row>
    <row r="103" spans="2:3" x14ac:dyDescent="0.25">
      <c r="B103" t="s">
        <v>9</v>
      </c>
      <c r="C103" t="s">
        <v>74</v>
      </c>
    </row>
    <row r="104" spans="2:3" x14ac:dyDescent="0.25">
      <c r="B104" t="s">
        <v>72</v>
      </c>
      <c r="C104" t="s">
        <v>74</v>
      </c>
    </row>
    <row r="105" spans="2:3" x14ac:dyDescent="0.25">
      <c r="B105" t="s">
        <v>73</v>
      </c>
      <c r="C105" t="s">
        <v>74</v>
      </c>
    </row>
    <row r="106" spans="2:3" x14ac:dyDescent="0.25">
      <c r="B106" t="s">
        <v>140</v>
      </c>
      <c r="C106" t="s">
        <v>77</v>
      </c>
    </row>
    <row r="107" spans="2:3" x14ac:dyDescent="0.25">
      <c r="B107" t="s">
        <v>43</v>
      </c>
      <c r="C107" t="s">
        <v>84</v>
      </c>
    </row>
    <row r="108" spans="2:3" x14ac:dyDescent="0.25">
      <c r="B108" t="s">
        <v>9</v>
      </c>
      <c r="C108" t="s">
        <v>74</v>
      </c>
    </row>
    <row r="109" spans="2:3" x14ac:dyDescent="0.25">
      <c r="B109" t="s">
        <v>72</v>
      </c>
      <c r="C109" t="s">
        <v>74</v>
      </c>
    </row>
    <row r="110" spans="2:3" x14ac:dyDescent="0.25">
      <c r="B110" t="s">
        <v>73</v>
      </c>
      <c r="C110" t="s">
        <v>74</v>
      </c>
    </row>
    <row r="111" spans="2:3" x14ac:dyDescent="0.25">
      <c r="B111" t="s">
        <v>119</v>
      </c>
      <c r="C111" t="s">
        <v>338</v>
      </c>
    </row>
    <row r="112" spans="2:3" x14ac:dyDescent="0.25">
      <c r="B112" t="s">
        <v>117</v>
      </c>
      <c r="C112" t="s">
        <v>339</v>
      </c>
    </row>
    <row r="113" spans="2:3" x14ac:dyDescent="0.25">
      <c r="B113" t="s">
        <v>341</v>
      </c>
      <c r="C113" t="s">
        <v>339</v>
      </c>
    </row>
    <row r="114" spans="2:3" x14ac:dyDescent="0.25">
      <c r="B114" t="s">
        <v>343</v>
      </c>
      <c r="C114" t="s">
        <v>339</v>
      </c>
    </row>
    <row r="115" spans="2:3" x14ac:dyDescent="0.25">
      <c r="B115" t="s">
        <v>345</v>
      </c>
      <c r="C115" t="s">
        <v>339</v>
      </c>
    </row>
    <row r="116" spans="2:3" x14ac:dyDescent="0.25">
      <c r="B116" t="s">
        <v>347</v>
      </c>
      <c r="C116" t="s">
        <v>339</v>
      </c>
    </row>
    <row r="117" spans="2:3" x14ac:dyDescent="0.25">
      <c r="B117" t="s">
        <v>141</v>
      </c>
      <c r="C117" t="s">
        <v>142</v>
      </c>
    </row>
    <row r="118" spans="2:3" x14ac:dyDescent="0.25">
      <c r="B118" t="s">
        <v>114</v>
      </c>
      <c r="C118" t="s">
        <v>115</v>
      </c>
    </row>
    <row r="119" spans="2:3" x14ac:dyDescent="0.25">
      <c r="B119" t="s">
        <v>116</v>
      </c>
      <c r="C119" t="s">
        <v>77</v>
      </c>
    </row>
    <row r="120" spans="2:3" x14ac:dyDescent="0.25">
      <c r="B120" t="s">
        <v>12</v>
      </c>
      <c r="C120" t="s">
        <v>77</v>
      </c>
    </row>
    <row r="121" spans="2:3" x14ac:dyDescent="0.25">
      <c r="B121" t="s">
        <v>16</v>
      </c>
      <c r="C121" t="s">
        <v>74</v>
      </c>
    </row>
    <row r="122" spans="2:3" x14ac:dyDescent="0.25">
      <c r="B122" t="s">
        <v>117</v>
      </c>
      <c r="C122" t="s">
        <v>74</v>
      </c>
    </row>
    <row r="123" spans="2:3" x14ac:dyDescent="0.25">
      <c r="B123" t="s">
        <v>55</v>
      </c>
      <c r="C123" t="s">
        <v>77</v>
      </c>
    </row>
    <row r="124" spans="2:3" x14ac:dyDescent="0.25">
      <c r="B124" t="s">
        <v>16</v>
      </c>
      <c r="C124" t="s">
        <v>74</v>
      </c>
    </row>
    <row r="125" spans="2:3" x14ac:dyDescent="0.25">
      <c r="B125" t="s">
        <v>117</v>
      </c>
      <c r="C125" t="s">
        <v>74</v>
      </c>
    </row>
    <row r="126" spans="2:3" x14ac:dyDescent="0.25">
      <c r="B126" t="s">
        <v>118</v>
      </c>
      <c r="C126" t="s">
        <v>77</v>
      </c>
    </row>
    <row r="127" spans="2:3" x14ac:dyDescent="0.25">
      <c r="B127" t="s">
        <v>9</v>
      </c>
      <c r="C127" t="s">
        <v>74</v>
      </c>
    </row>
    <row r="128" spans="2:3" x14ac:dyDescent="0.25">
      <c r="B128" t="s">
        <v>119</v>
      </c>
      <c r="C128" t="s">
        <v>77</v>
      </c>
    </row>
    <row r="129" spans="2:3" x14ac:dyDescent="0.25">
      <c r="B129" t="s">
        <v>120</v>
      </c>
      <c r="C129" t="s">
        <v>74</v>
      </c>
    </row>
    <row r="130" spans="2:3" x14ac:dyDescent="0.25">
      <c r="B130" t="s">
        <v>121</v>
      </c>
      <c r="C130" t="s">
        <v>74</v>
      </c>
    </row>
    <row r="131" spans="2:3" x14ac:dyDescent="0.25">
      <c r="B131" t="s">
        <v>417</v>
      </c>
      <c r="C131" t="s">
        <v>77</v>
      </c>
    </row>
    <row r="132" spans="2:3" x14ac:dyDescent="0.25">
      <c r="B132" t="s">
        <v>120</v>
      </c>
      <c r="C132" t="s">
        <v>74</v>
      </c>
    </row>
    <row r="133" spans="2:3" x14ac:dyDescent="0.25">
      <c r="B133" t="s">
        <v>122</v>
      </c>
      <c r="C133" t="s">
        <v>77</v>
      </c>
    </row>
    <row r="134" spans="2:3" x14ac:dyDescent="0.25">
      <c r="B134" t="s">
        <v>123</v>
      </c>
      <c r="C134" t="s">
        <v>74</v>
      </c>
    </row>
    <row r="135" spans="2:3" x14ac:dyDescent="0.25">
      <c r="B135" t="s">
        <v>124</v>
      </c>
      <c r="C135" t="s">
        <v>125</v>
      </c>
    </row>
    <row r="136" spans="2:3" x14ac:dyDescent="0.25">
      <c r="B136" t="s">
        <v>75</v>
      </c>
      <c r="C136" t="s">
        <v>78</v>
      </c>
    </row>
    <row r="137" spans="2:3" x14ac:dyDescent="0.25">
      <c r="B137" t="s">
        <v>79</v>
      </c>
      <c r="C137" t="s">
        <v>80</v>
      </c>
    </row>
    <row r="138" spans="2:3" x14ac:dyDescent="0.25">
      <c r="B138" t="s">
        <v>81</v>
      </c>
      <c r="C138" t="s">
        <v>80</v>
      </c>
    </row>
    <row r="139" spans="2:3" x14ac:dyDescent="0.25">
      <c r="B139" t="s">
        <v>82</v>
      </c>
      <c r="C139" t="s">
        <v>74</v>
      </c>
    </row>
    <row r="140" spans="2:3" x14ac:dyDescent="0.25">
      <c r="B140" t="s">
        <v>83</v>
      </c>
      <c r="C140" t="s">
        <v>74</v>
      </c>
    </row>
    <row r="141" spans="2:3" x14ac:dyDescent="0.25">
      <c r="B141" t="s">
        <v>76</v>
      </c>
      <c r="C141" t="s">
        <v>80</v>
      </c>
    </row>
    <row r="142" spans="2:3" x14ac:dyDescent="0.25">
      <c r="B142" t="s">
        <v>126</v>
      </c>
      <c r="C142" t="s">
        <v>125</v>
      </c>
    </row>
    <row r="143" spans="2:3" x14ac:dyDescent="0.25">
      <c r="B143" t="s">
        <v>75</v>
      </c>
      <c r="C143" t="s">
        <v>78</v>
      </c>
    </row>
    <row r="144" spans="2:3" x14ac:dyDescent="0.25">
      <c r="B144" t="s">
        <v>79</v>
      </c>
      <c r="C144" t="s">
        <v>80</v>
      </c>
    </row>
    <row r="145" spans="2:3" x14ac:dyDescent="0.25">
      <c r="B145" t="s">
        <v>81</v>
      </c>
      <c r="C145" t="s">
        <v>80</v>
      </c>
    </row>
    <row r="146" spans="2:3" x14ac:dyDescent="0.25">
      <c r="B146" t="s">
        <v>82</v>
      </c>
      <c r="C146" t="s">
        <v>74</v>
      </c>
    </row>
    <row r="147" spans="2:3" x14ac:dyDescent="0.25">
      <c r="B147" t="s">
        <v>83</v>
      </c>
      <c r="C147" t="s">
        <v>74</v>
      </c>
    </row>
    <row r="148" spans="2:3" x14ac:dyDescent="0.25">
      <c r="B148" t="s">
        <v>76</v>
      </c>
      <c r="C148" t="s">
        <v>80</v>
      </c>
    </row>
    <row r="149" spans="2:3" x14ac:dyDescent="0.25">
      <c r="B149" t="s">
        <v>127</v>
      </c>
      <c r="C149" t="s">
        <v>115</v>
      </c>
    </row>
    <row r="150" spans="2:3" x14ac:dyDescent="0.25">
      <c r="B150" t="s">
        <v>116</v>
      </c>
      <c r="C150" t="s">
        <v>77</v>
      </c>
    </row>
    <row r="151" spans="2:3" x14ac:dyDescent="0.25">
      <c r="B151" t="s">
        <v>12</v>
      </c>
      <c r="C151" t="s">
        <v>77</v>
      </c>
    </row>
    <row r="152" spans="2:3" x14ac:dyDescent="0.25">
      <c r="B152" t="s">
        <v>16</v>
      </c>
      <c r="C152" t="s">
        <v>74</v>
      </c>
    </row>
    <row r="153" spans="2:3" x14ac:dyDescent="0.25">
      <c r="B153" t="s">
        <v>117</v>
      </c>
      <c r="C153" t="s">
        <v>74</v>
      </c>
    </row>
    <row r="154" spans="2:3" x14ac:dyDescent="0.25">
      <c r="B154" t="s">
        <v>55</v>
      </c>
      <c r="C154" t="s">
        <v>77</v>
      </c>
    </row>
    <row r="155" spans="2:3" x14ac:dyDescent="0.25">
      <c r="B155" t="s">
        <v>16</v>
      </c>
      <c r="C155" t="s">
        <v>74</v>
      </c>
    </row>
    <row r="156" spans="2:3" x14ac:dyDescent="0.25">
      <c r="B156" t="s">
        <v>117</v>
      </c>
      <c r="C156" t="s">
        <v>74</v>
      </c>
    </row>
    <row r="157" spans="2:3" x14ac:dyDescent="0.25">
      <c r="B157" t="s">
        <v>118</v>
      </c>
      <c r="C157" t="s">
        <v>77</v>
      </c>
    </row>
    <row r="158" spans="2:3" x14ac:dyDescent="0.25">
      <c r="B158" t="s">
        <v>9</v>
      </c>
      <c r="C158" t="s">
        <v>74</v>
      </c>
    </row>
    <row r="159" spans="2:3" x14ac:dyDescent="0.25">
      <c r="B159" t="s">
        <v>119</v>
      </c>
      <c r="C159" t="s">
        <v>77</v>
      </c>
    </row>
    <row r="160" spans="2:3" x14ac:dyDescent="0.25">
      <c r="B160" t="s">
        <v>120</v>
      </c>
      <c r="C160" t="s">
        <v>74</v>
      </c>
    </row>
    <row r="161" spans="2:3" x14ac:dyDescent="0.25">
      <c r="B161" t="s">
        <v>121</v>
      </c>
      <c r="C161" t="s">
        <v>74</v>
      </c>
    </row>
    <row r="162" spans="2:3" x14ac:dyDescent="0.25">
      <c r="B162" t="s">
        <v>417</v>
      </c>
      <c r="C162" t="s">
        <v>77</v>
      </c>
    </row>
    <row r="163" spans="2:3" x14ac:dyDescent="0.25">
      <c r="B163" t="s">
        <v>120</v>
      </c>
      <c r="C163" t="s">
        <v>74</v>
      </c>
    </row>
    <row r="164" spans="2:3" x14ac:dyDescent="0.25">
      <c r="B164" t="s">
        <v>122</v>
      </c>
      <c r="C164" t="s">
        <v>77</v>
      </c>
    </row>
    <row r="165" spans="2:3" x14ac:dyDescent="0.25">
      <c r="B165" t="s">
        <v>123</v>
      </c>
      <c r="C165" t="s">
        <v>74</v>
      </c>
    </row>
    <row r="166" spans="2:3" x14ac:dyDescent="0.25">
      <c r="B166" t="s">
        <v>124</v>
      </c>
      <c r="C166" t="s">
        <v>125</v>
      </c>
    </row>
    <row r="167" spans="2:3" x14ac:dyDescent="0.25">
      <c r="B167" t="s">
        <v>75</v>
      </c>
      <c r="C167" t="s">
        <v>78</v>
      </c>
    </row>
    <row r="168" spans="2:3" x14ac:dyDescent="0.25">
      <c r="B168" t="s">
        <v>79</v>
      </c>
      <c r="C168" t="s">
        <v>80</v>
      </c>
    </row>
    <row r="169" spans="2:3" x14ac:dyDescent="0.25">
      <c r="B169" t="s">
        <v>81</v>
      </c>
      <c r="C169" t="s">
        <v>80</v>
      </c>
    </row>
    <row r="170" spans="2:3" x14ac:dyDescent="0.25">
      <c r="B170" t="s">
        <v>82</v>
      </c>
      <c r="C170" t="s">
        <v>74</v>
      </c>
    </row>
    <row r="171" spans="2:3" x14ac:dyDescent="0.25">
      <c r="B171" t="s">
        <v>83</v>
      </c>
      <c r="C171" t="s">
        <v>74</v>
      </c>
    </row>
    <row r="172" spans="2:3" x14ac:dyDescent="0.25">
      <c r="B172" t="s">
        <v>76</v>
      </c>
      <c r="C172" t="s">
        <v>80</v>
      </c>
    </row>
    <row r="173" spans="2:3" x14ac:dyDescent="0.25">
      <c r="B173" t="s">
        <v>126</v>
      </c>
      <c r="C173" t="s">
        <v>125</v>
      </c>
    </row>
    <row r="174" spans="2:3" x14ac:dyDescent="0.25">
      <c r="B174" t="s">
        <v>75</v>
      </c>
      <c r="C174" t="s">
        <v>78</v>
      </c>
    </row>
    <row r="175" spans="2:3" x14ac:dyDescent="0.25">
      <c r="B175" t="s">
        <v>79</v>
      </c>
      <c r="C175" t="s">
        <v>80</v>
      </c>
    </row>
    <row r="176" spans="2:3" x14ac:dyDescent="0.25">
      <c r="B176" t="s">
        <v>81</v>
      </c>
      <c r="C176" t="s">
        <v>80</v>
      </c>
    </row>
    <row r="177" spans="2:3" x14ac:dyDescent="0.25">
      <c r="B177" t="s">
        <v>82</v>
      </c>
      <c r="C177" t="s">
        <v>74</v>
      </c>
    </row>
    <row r="178" spans="2:3" x14ac:dyDescent="0.25">
      <c r="B178" t="s">
        <v>83</v>
      </c>
      <c r="C178" t="s">
        <v>74</v>
      </c>
    </row>
    <row r="179" spans="2:3" x14ac:dyDescent="0.25">
      <c r="B179" t="s">
        <v>76</v>
      </c>
      <c r="C179" t="s">
        <v>80</v>
      </c>
    </row>
    <row r="180" spans="2:3" x14ac:dyDescent="0.25">
      <c r="B180" t="s">
        <v>128</v>
      </c>
      <c r="C180" t="s">
        <v>129</v>
      </c>
    </row>
    <row r="181" spans="2:3" x14ac:dyDescent="0.25">
      <c r="B181" t="s">
        <v>16</v>
      </c>
      <c r="C181" t="s">
        <v>130</v>
      </c>
    </row>
    <row r="182" spans="2:3" x14ac:dyDescent="0.25">
      <c r="B182" t="s">
        <v>8</v>
      </c>
      <c r="C182" t="s">
        <v>74</v>
      </c>
    </row>
    <row r="183" spans="2:3" x14ac:dyDescent="0.25">
      <c r="B183" t="s">
        <v>72</v>
      </c>
      <c r="C183" t="s">
        <v>74</v>
      </c>
    </row>
    <row r="184" spans="2:3" x14ac:dyDescent="0.25">
      <c r="B184" t="s">
        <v>73</v>
      </c>
      <c r="C184" t="s">
        <v>74</v>
      </c>
    </row>
    <row r="185" spans="2:3" x14ac:dyDescent="0.25">
      <c r="B185" t="s">
        <v>1</v>
      </c>
      <c r="C185" t="s">
        <v>84</v>
      </c>
    </row>
    <row r="186" spans="2:3" x14ac:dyDescent="0.25">
      <c r="B186" t="s">
        <v>9</v>
      </c>
      <c r="C186" t="s">
        <v>74</v>
      </c>
    </row>
    <row r="187" spans="2:3" x14ac:dyDescent="0.25">
      <c r="B187" t="s">
        <v>72</v>
      </c>
      <c r="C187" t="s">
        <v>74</v>
      </c>
    </row>
    <row r="188" spans="2:3" x14ac:dyDescent="0.25">
      <c r="B188" t="s">
        <v>73</v>
      </c>
      <c r="C188" t="s">
        <v>74</v>
      </c>
    </row>
    <row r="189" spans="2:3" x14ac:dyDescent="0.25">
      <c r="B189" t="s">
        <v>2</v>
      </c>
      <c r="C189" t="s">
        <v>85</v>
      </c>
    </row>
    <row r="190" spans="2:3" x14ac:dyDescent="0.25">
      <c r="B190" t="s">
        <v>10</v>
      </c>
      <c r="C190" t="s">
        <v>74</v>
      </c>
    </row>
    <row r="191" spans="2:3" x14ac:dyDescent="0.25">
      <c r="B191" t="s">
        <v>72</v>
      </c>
      <c r="C191" t="s">
        <v>74</v>
      </c>
    </row>
    <row r="192" spans="2:3" x14ac:dyDescent="0.25">
      <c r="B192" t="s">
        <v>73</v>
      </c>
      <c r="C192" t="s">
        <v>74</v>
      </c>
    </row>
    <row r="193" spans="2:3" x14ac:dyDescent="0.25">
      <c r="B193" t="s">
        <v>131</v>
      </c>
      <c r="C193" t="s">
        <v>77</v>
      </c>
    </row>
    <row r="194" spans="2:3" x14ac:dyDescent="0.25">
      <c r="B194" t="s">
        <v>132</v>
      </c>
      <c r="C194" t="s">
        <v>74</v>
      </c>
    </row>
    <row r="195" spans="2:3" x14ac:dyDescent="0.25">
      <c r="B195" t="s">
        <v>14</v>
      </c>
      <c r="C195" t="s">
        <v>77</v>
      </c>
    </row>
    <row r="196" spans="2:3" x14ac:dyDescent="0.25">
      <c r="B196" t="s">
        <v>133</v>
      </c>
      <c r="C196" t="s">
        <v>134</v>
      </c>
    </row>
    <row r="197" spans="2:3" x14ac:dyDescent="0.25">
      <c r="B197" t="s">
        <v>135</v>
      </c>
      <c r="C197" t="s">
        <v>134</v>
      </c>
    </row>
    <row r="198" spans="2:3" x14ac:dyDescent="0.25">
      <c r="B198" t="s">
        <v>15</v>
      </c>
      <c r="C198" t="s">
        <v>77</v>
      </c>
    </row>
    <row r="199" spans="2:3" x14ac:dyDescent="0.25">
      <c r="B199" t="s">
        <v>133</v>
      </c>
      <c r="C199" t="s">
        <v>134</v>
      </c>
    </row>
    <row r="200" spans="2:3" x14ac:dyDescent="0.25">
      <c r="B200" t="s">
        <v>135</v>
      </c>
      <c r="C200" t="s">
        <v>134</v>
      </c>
    </row>
    <row r="201" spans="2:3" x14ac:dyDescent="0.25">
      <c r="B201" t="s">
        <v>5</v>
      </c>
      <c r="C201" t="s">
        <v>77</v>
      </c>
    </row>
    <row r="202" spans="2:3" x14ac:dyDescent="0.25">
      <c r="B202" t="s">
        <v>133</v>
      </c>
      <c r="C202" t="s">
        <v>134</v>
      </c>
    </row>
    <row r="203" spans="2:3" x14ac:dyDescent="0.25">
      <c r="B203" t="s">
        <v>135</v>
      </c>
      <c r="C203" t="s">
        <v>134</v>
      </c>
    </row>
    <row r="204" spans="2:3" x14ac:dyDescent="0.25">
      <c r="B204" t="s">
        <v>136</v>
      </c>
      <c r="C204" t="s">
        <v>77</v>
      </c>
    </row>
    <row r="205" spans="2:3" x14ac:dyDescent="0.25">
      <c r="B205" t="s">
        <v>43</v>
      </c>
      <c r="C205" t="s">
        <v>137</v>
      </c>
    </row>
    <row r="206" spans="2:3" x14ac:dyDescent="0.25">
      <c r="B206" t="s">
        <v>8</v>
      </c>
      <c r="C206" t="s">
        <v>74</v>
      </c>
    </row>
    <row r="207" spans="2:3" x14ac:dyDescent="0.25">
      <c r="B207" t="s">
        <v>72</v>
      </c>
      <c r="C207" t="s">
        <v>74</v>
      </c>
    </row>
    <row r="208" spans="2:3" x14ac:dyDescent="0.25">
      <c r="B208" t="s">
        <v>73</v>
      </c>
      <c r="C208" t="s">
        <v>74</v>
      </c>
    </row>
    <row r="209" spans="2:3" x14ac:dyDescent="0.25">
      <c r="B209" t="s">
        <v>138</v>
      </c>
      <c r="C209" t="s">
        <v>74</v>
      </c>
    </row>
    <row r="210" spans="2:3" x14ac:dyDescent="0.25">
      <c r="B210" t="s">
        <v>139</v>
      </c>
      <c r="C210" t="s">
        <v>77</v>
      </c>
    </row>
    <row r="211" spans="2:3" x14ac:dyDescent="0.25">
      <c r="B211" t="s">
        <v>114</v>
      </c>
      <c r="C211" t="s">
        <v>115</v>
      </c>
    </row>
    <row r="212" spans="2:3" x14ac:dyDescent="0.25">
      <c r="B212" t="s">
        <v>120</v>
      </c>
      <c r="C212" t="s">
        <v>74</v>
      </c>
    </row>
    <row r="213" spans="2:3" x14ac:dyDescent="0.25">
      <c r="B213" t="s">
        <v>127</v>
      </c>
      <c r="C213" t="s">
        <v>115</v>
      </c>
    </row>
    <row r="214" spans="2:3" x14ac:dyDescent="0.25">
      <c r="B214" t="s">
        <v>120</v>
      </c>
      <c r="C214" t="s">
        <v>74</v>
      </c>
    </row>
    <row r="215" spans="2:3" x14ac:dyDescent="0.25">
      <c r="B215" t="s">
        <v>120</v>
      </c>
      <c r="C215" t="s">
        <v>74</v>
      </c>
    </row>
    <row r="216" spans="2:3" x14ac:dyDescent="0.25">
      <c r="B216" t="s">
        <v>86</v>
      </c>
      <c r="C216" t="s">
        <v>77</v>
      </c>
    </row>
    <row r="217" spans="2:3" x14ac:dyDescent="0.25">
      <c r="B217" t="s">
        <v>43</v>
      </c>
      <c r="C217" t="s">
        <v>84</v>
      </c>
    </row>
    <row r="218" spans="2:3" x14ac:dyDescent="0.25">
      <c r="B218" t="s">
        <v>9</v>
      </c>
      <c r="C218" t="s">
        <v>74</v>
      </c>
    </row>
    <row r="219" spans="2:3" x14ac:dyDescent="0.25">
      <c r="B219" t="s">
        <v>72</v>
      </c>
      <c r="C219" t="s">
        <v>74</v>
      </c>
    </row>
    <row r="220" spans="2:3" x14ac:dyDescent="0.25">
      <c r="B220" t="s">
        <v>73</v>
      </c>
      <c r="C220" t="s">
        <v>74</v>
      </c>
    </row>
    <row r="221" spans="2:3" x14ac:dyDescent="0.25">
      <c r="B221" t="s">
        <v>140</v>
      </c>
      <c r="C221" t="s">
        <v>77</v>
      </c>
    </row>
    <row r="222" spans="2:3" x14ac:dyDescent="0.25">
      <c r="B222" t="s">
        <v>43</v>
      </c>
      <c r="C222" t="s">
        <v>84</v>
      </c>
    </row>
    <row r="223" spans="2:3" x14ac:dyDescent="0.25">
      <c r="B223" t="s">
        <v>9</v>
      </c>
      <c r="C223" t="s">
        <v>74</v>
      </c>
    </row>
    <row r="224" spans="2:3" x14ac:dyDescent="0.25">
      <c r="B224" t="s">
        <v>72</v>
      </c>
      <c r="C224" t="s">
        <v>74</v>
      </c>
    </row>
    <row r="225" spans="2:3" x14ac:dyDescent="0.25">
      <c r="B225" t="s">
        <v>73</v>
      </c>
      <c r="C225" t="s">
        <v>74</v>
      </c>
    </row>
    <row r="226" spans="2:3" x14ac:dyDescent="0.25">
      <c r="B226" t="s">
        <v>119</v>
      </c>
      <c r="C226" t="s">
        <v>338</v>
      </c>
    </row>
    <row r="227" spans="2:3" x14ac:dyDescent="0.25">
      <c r="B227" t="s">
        <v>117</v>
      </c>
      <c r="C227" t="s">
        <v>339</v>
      </c>
    </row>
    <row r="228" spans="2:3" x14ac:dyDescent="0.25">
      <c r="B228" t="s">
        <v>341</v>
      </c>
      <c r="C228" t="s">
        <v>339</v>
      </c>
    </row>
    <row r="229" spans="2:3" x14ac:dyDescent="0.25">
      <c r="B229" t="s">
        <v>343</v>
      </c>
      <c r="C229" t="s">
        <v>339</v>
      </c>
    </row>
    <row r="230" spans="2:3" x14ac:dyDescent="0.25">
      <c r="B230" t="s">
        <v>345</v>
      </c>
      <c r="C230" t="s">
        <v>339</v>
      </c>
    </row>
    <row r="231" spans="2:3" x14ac:dyDescent="0.25">
      <c r="B231" t="s">
        <v>347</v>
      </c>
      <c r="C231" t="s">
        <v>339</v>
      </c>
    </row>
    <row r="232" spans="2:3" x14ac:dyDescent="0.25">
      <c r="B232" t="s">
        <v>143</v>
      </c>
      <c r="C232" t="s">
        <v>142</v>
      </c>
    </row>
    <row r="233" spans="2:3" x14ac:dyDescent="0.25">
      <c r="B233" t="s">
        <v>114</v>
      </c>
      <c r="C233" t="s">
        <v>115</v>
      </c>
    </row>
    <row r="234" spans="2:3" x14ac:dyDescent="0.25">
      <c r="B234" t="s">
        <v>116</v>
      </c>
      <c r="C234" t="s">
        <v>77</v>
      </c>
    </row>
    <row r="235" spans="2:3" x14ac:dyDescent="0.25">
      <c r="B235" t="s">
        <v>12</v>
      </c>
      <c r="C235" t="s">
        <v>77</v>
      </c>
    </row>
    <row r="236" spans="2:3" x14ac:dyDescent="0.25">
      <c r="B236" t="s">
        <v>16</v>
      </c>
      <c r="C236" t="s">
        <v>74</v>
      </c>
    </row>
    <row r="237" spans="2:3" x14ac:dyDescent="0.25">
      <c r="B237" t="s">
        <v>117</v>
      </c>
      <c r="C237" t="s">
        <v>74</v>
      </c>
    </row>
    <row r="238" spans="2:3" x14ac:dyDescent="0.25">
      <c r="B238" t="s">
        <v>55</v>
      </c>
      <c r="C238" t="s">
        <v>77</v>
      </c>
    </row>
    <row r="239" spans="2:3" x14ac:dyDescent="0.25">
      <c r="B239" t="s">
        <v>16</v>
      </c>
      <c r="C239" t="s">
        <v>74</v>
      </c>
    </row>
    <row r="240" spans="2:3" x14ac:dyDescent="0.25">
      <c r="B240" t="s">
        <v>117</v>
      </c>
      <c r="C240" t="s">
        <v>74</v>
      </c>
    </row>
    <row r="241" spans="2:3" x14ac:dyDescent="0.25">
      <c r="B241" t="s">
        <v>118</v>
      </c>
      <c r="C241" t="s">
        <v>77</v>
      </c>
    </row>
    <row r="242" spans="2:3" x14ac:dyDescent="0.25">
      <c r="B242" t="s">
        <v>9</v>
      </c>
      <c r="C242" t="s">
        <v>74</v>
      </c>
    </row>
    <row r="243" spans="2:3" x14ac:dyDescent="0.25">
      <c r="B243" t="s">
        <v>119</v>
      </c>
      <c r="C243" t="s">
        <v>77</v>
      </c>
    </row>
    <row r="244" spans="2:3" x14ac:dyDescent="0.25">
      <c r="B244" t="s">
        <v>120</v>
      </c>
      <c r="C244" t="s">
        <v>74</v>
      </c>
    </row>
    <row r="245" spans="2:3" x14ac:dyDescent="0.25">
      <c r="B245" t="s">
        <v>121</v>
      </c>
      <c r="C245" t="s">
        <v>74</v>
      </c>
    </row>
    <row r="246" spans="2:3" x14ac:dyDescent="0.25">
      <c r="B246" t="s">
        <v>417</v>
      </c>
      <c r="C246" t="s">
        <v>77</v>
      </c>
    </row>
    <row r="247" spans="2:3" x14ac:dyDescent="0.25">
      <c r="B247" t="s">
        <v>120</v>
      </c>
      <c r="C247" t="s">
        <v>74</v>
      </c>
    </row>
    <row r="248" spans="2:3" x14ac:dyDescent="0.25">
      <c r="B248" t="s">
        <v>122</v>
      </c>
      <c r="C248" t="s">
        <v>77</v>
      </c>
    </row>
    <row r="249" spans="2:3" x14ac:dyDescent="0.25">
      <c r="B249" t="s">
        <v>123</v>
      </c>
      <c r="C249" t="s">
        <v>74</v>
      </c>
    </row>
    <row r="250" spans="2:3" x14ac:dyDescent="0.25">
      <c r="B250" t="s">
        <v>124</v>
      </c>
      <c r="C250" t="s">
        <v>125</v>
      </c>
    </row>
    <row r="251" spans="2:3" x14ac:dyDescent="0.25">
      <c r="B251" t="s">
        <v>75</v>
      </c>
      <c r="C251" t="s">
        <v>78</v>
      </c>
    </row>
    <row r="252" spans="2:3" x14ac:dyDescent="0.25">
      <c r="B252" t="s">
        <v>79</v>
      </c>
      <c r="C252" t="s">
        <v>80</v>
      </c>
    </row>
    <row r="253" spans="2:3" x14ac:dyDescent="0.25">
      <c r="B253" t="s">
        <v>81</v>
      </c>
      <c r="C253" t="s">
        <v>80</v>
      </c>
    </row>
    <row r="254" spans="2:3" x14ac:dyDescent="0.25">
      <c r="B254" t="s">
        <v>82</v>
      </c>
      <c r="C254" t="s">
        <v>74</v>
      </c>
    </row>
    <row r="255" spans="2:3" x14ac:dyDescent="0.25">
      <c r="B255" t="s">
        <v>83</v>
      </c>
      <c r="C255" t="s">
        <v>74</v>
      </c>
    </row>
    <row r="256" spans="2:3" x14ac:dyDescent="0.25">
      <c r="B256" t="s">
        <v>76</v>
      </c>
      <c r="C256" t="s">
        <v>80</v>
      </c>
    </row>
    <row r="257" spans="2:3" x14ac:dyDescent="0.25">
      <c r="B257" t="s">
        <v>126</v>
      </c>
      <c r="C257" t="s">
        <v>125</v>
      </c>
    </row>
    <row r="258" spans="2:3" x14ac:dyDescent="0.25">
      <c r="B258" t="s">
        <v>75</v>
      </c>
      <c r="C258" t="s">
        <v>78</v>
      </c>
    </row>
    <row r="259" spans="2:3" x14ac:dyDescent="0.25">
      <c r="B259" t="s">
        <v>79</v>
      </c>
      <c r="C259" t="s">
        <v>80</v>
      </c>
    </row>
    <row r="260" spans="2:3" x14ac:dyDescent="0.25">
      <c r="B260" t="s">
        <v>81</v>
      </c>
      <c r="C260" t="s">
        <v>80</v>
      </c>
    </row>
    <row r="261" spans="2:3" x14ac:dyDescent="0.25">
      <c r="B261" t="s">
        <v>82</v>
      </c>
      <c r="C261" t="s">
        <v>74</v>
      </c>
    </row>
    <row r="262" spans="2:3" x14ac:dyDescent="0.25">
      <c r="B262" t="s">
        <v>83</v>
      </c>
      <c r="C262" t="s">
        <v>74</v>
      </c>
    </row>
    <row r="263" spans="2:3" x14ac:dyDescent="0.25">
      <c r="B263" t="s">
        <v>76</v>
      </c>
      <c r="C263" t="s">
        <v>80</v>
      </c>
    </row>
    <row r="264" spans="2:3" x14ac:dyDescent="0.25">
      <c r="B264" t="s">
        <v>127</v>
      </c>
      <c r="C264" t="s">
        <v>115</v>
      </c>
    </row>
    <row r="265" spans="2:3" x14ac:dyDescent="0.25">
      <c r="B265" t="s">
        <v>116</v>
      </c>
      <c r="C265" t="s">
        <v>77</v>
      </c>
    </row>
    <row r="266" spans="2:3" x14ac:dyDescent="0.25">
      <c r="B266" t="s">
        <v>12</v>
      </c>
      <c r="C266" t="s">
        <v>77</v>
      </c>
    </row>
    <row r="267" spans="2:3" x14ac:dyDescent="0.25">
      <c r="B267" t="s">
        <v>16</v>
      </c>
      <c r="C267" t="s">
        <v>74</v>
      </c>
    </row>
    <row r="268" spans="2:3" x14ac:dyDescent="0.25">
      <c r="B268" t="s">
        <v>117</v>
      </c>
      <c r="C268" t="s">
        <v>74</v>
      </c>
    </row>
    <row r="269" spans="2:3" x14ac:dyDescent="0.25">
      <c r="B269" t="s">
        <v>55</v>
      </c>
      <c r="C269" t="s">
        <v>77</v>
      </c>
    </row>
    <row r="270" spans="2:3" x14ac:dyDescent="0.25">
      <c r="B270" t="s">
        <v>16</v>
      </c>
      <c r="C270" t="s">
        <v>74</v>
      </c>
    </row>
    <row r="271" spans="2:3" x14ac:dyDescent="0.25">
      <c r="B271" t="s">
        <v>117</v>
      </c>
      <c r="C271" t="s">
        <v>74</v>
      </c>
    </row>
    <row r="272" spans="2:3" x14ac:dyDescent="0.25">
      <c r="B272" t="s">
        <v>118</v>
      </c>
      <c r="C272" t="s">
        <v>77</v>
      </c>
    </row>
    <row r="273" spans="2:3" x14ac:dyDescent="0.25">
      <c r="B273" t="s">
        <v>9</v>
      </c>
      <c r="C273" t="s">
        <v>74</v>
      </c>
    </row>
    <row r="274" spans="2:3" x14ac:dyDescent="0.25">
      <c r="B274" t="s">
        <v>119</v>
      </c>
      <c r="C274" t="s">
        <v>77</v>
      </c>
    </row>
    <row r="275" spans="2:3" x14ac:dyDescent="0.25">
      <c r="B275" t="s">
        <v>120</v>
      </c>
      <c r="C275" t="s">
        <v>74</v>
      </c>
    </row>
    <row r="276" spans="2:3" x14ac:dyDescent="0.25">
      <c r="B276" t="s">
        <v>121</v>
      </c>
      <c r="C276" t="s">
        <v>74</v>
      </c>
    </row>
    <row r="277" spans="2:3" x14ac:dyDescent="0.25">
      <c r="B277" t="s">
        <v>417</v>
      </c>
      <c r="C277" t="s">
        <v>77</v>
      </c>
    </row>
    <row r="278" spans="2:3" x14ac:dyDescent="0.25">
      <c r="B278" t="s">
        <v>120</v>
      </c>
      <c r="C278" t="s">
        <v>74</v>
      </c>
    </row>
    <row r="279" spans="2:3" x14ac:dyDescent="0.25">
      <c r="B279" t="s">
        <v>122</v>
      </c>
      <c r="C279" t="s">
        <v>77</v>
      </c>
    </row>
    <row r="280" spans="2:3" x14ac:dyDescent="0.25">
      <c r="B280" t="s">
        <v>123</v>
      </c>
      <c r="C280" t="s">
        <v>74</v>
      </c>
    </row>
    <row r="281" spans="2:3" x14ac:dyDescent="0.25">
      <c r="B281" t="s">
        <v>124</v>
      </c>
      <c r="C281" t="s">
        <v>125</v>
      </c>
    </row>
    <row r="282" spans="2:3" x14ac:dyDescent="0.25">
      <c r="B282" t="s">
        <v>75</v>
      </c>
      <c r="C282" t="s">
        <v>78</v>
      </c>
    </row>
    <row r="283" spans="2:3" x14ac:dyDescent="0.25">
      <c r="B283" t="s">
        <v>79</v>
      </c>
      <c r="C283" t="s">
        <v>80</v>
      </c>
    </row>
    <row r="284" spans="2:3" x14ac:dyDescent="0.25">
      <c r="B284" t="s">
        <v>81</v>
      </c>
      <c r="C284" t="s">
        <v>80</v>
      </c>
    </row>
    <row r="285" spans="2:3" x14ac:dyDescent="0.25">
      <c r="B285" t="s">
        <v>82</v>
      </c>
      <c r="C285" t="s">
        <v>74</v>
      </c>
    </row>
    <row r="286" spans="2:3" x14ac:dyDescent="0.25">
      <c r="B286" t="s">
        <v>83</v>
      </c>
      <c r="C286" t="s">
        <v>74</v>
      </c>
    </row>
    <row r="287" spans="2:3" x14ac:dyDescent="0.25">
      <c r="B287" t="s">
        <v>76</v>
      </c>
      <c r="C287" t="s">
        <v>80</v>
      </c>
    </row>
    <row r="288" spans="2:3" x14ac:dyDescent="0.25">
      <c r="B288" t="s">
        <v>126</v>
      </c>
      <c r="C288" t="s">
        <v>125</v>
      </c>
    </row>
    <row r="289" spans="2:3" x14ac:dyDescent="0.25">
      <c r="B289" t="s">
        <v>75</v>
      </c>
      <c r="C289" t="s">
        <v>78</v>
      </c>
    </row>
    <row r="290" spans="2:3" x14ac:dyDescent="0.25">
      <c r="B290" t="s">
        <v>79</v>
      </c>
      <c r="C290" t="s">
        <v>80</v>
      </c>
    </row>
    <row r="291" spans="2:3" x14ac:dyDescent="0.25">
      <c r="B291" t="s">
        <v>81</v>
      </c>
      <c r="C291" t="s">
        <v>80</v>
      </c>
    </row>
    <row r="292" spans="2:3" x14ac:dyDescent="0.25">
      <c r="B292" t="s">
        <v>82</v>
      </c>
      <c r="C292" t="s">
        <v>74</v>
      </c>
    </row>
    <row r="293" spans="2:3" x14ac:dyDescent="0.25">
      <c r="B293" t="s">
        <v>83</v>
      </c>
      <c r="C293" t="s">
        <v>74</v>
      </c>
    </row>
    <row r="294" spans="2:3" x14ac:dyDescent="0.25">
      <c r="B294" t="s">
        <v>76</v>
      </c>
      <c r="C294" t="s">
        <v>80</v>
      </c>
    </row>
    <row r="295" spans="2:3" x14ac:dyDescent="0.25">
      <c r="B295" t="s">
        <v>128</v>
      </c>
      <c r="C295" t="s">
        <v>129</v>
      </c>
    </row>
    <row r="296" spans="2:3" x14ac:dyDescent="0.25">
      <c r="B296" t="s">
        <v>16</v>
      </c>
      <c r="C296" t="s">
        <v>130</v>
      </c>
    </row>
    <row r="297" spans="2:3" x14ac:dyDescent="0.25">
      <c r="B297" t="s">
        <v>8</v>
      </c>
      <c r="C297" t="s">
        <v>74</v>
      </c>
    </row>
    <row r="298" spans="2:3" x14ac:dyDescent="0.25">
      <c r="B298" t="s">
        <v>72</v>
      </c>
      <c r="C298" t="s">
        <v>74</v>
      </c>
    </row>
    <row r="299" spans="2:3" x14ac:dyDescent="0.25">
      <c r="B299" t="s">
        <v>73</v>
      </c>
      <c r="C299" t="s">
        <v>74</v>
      </c>
    </row>
    <row r="300" spans="2:3" x14ac:dyDescent="0.25">
      <c r="B300" t="s">
        <v>1</v>
      </c>
      <c r="C300" t="s">
        <v>84</v>
      </c>
    </row>
    <row r="301" spans="2:3" x14ac:dyDescent="0.25">
      <c r="B301" t="s">
        <v>9</v>
      </c>
      <c r="C301" t="s">
        <v>74</v>
      </c>
    </row>
    <row r="302" spans="2:3" x14ac:dyDescent="0.25">
      <c r="B302" t="s">
        <v>72</v>
      </c>
      <c r="C302" t="s">
        <v>74</v>
      </c>
    </row>
    <row r="303" spans="2:3" x14ac:dyDescent="0.25">
      <c r="B303" t="s">
        <v>73</v>
      </c>
      <c r="C303" t="s">
        <v>74</v>
      </c>
    </row>
    <row r="304" spans="2:3" x14ac:dyDescent="0.25">
      <c r="B304" t="s">
        <v>2</v>
      </c>
      <c r="C304" t="s">
        <v>85</v>
      </c>
    </row>
    <row r="305" spans="2:3" x14ac:dyDescent="0.25">
      <c r="B305" t="s">
        <v>10</v>
      </c>
      <c r="C305" t="s">
        <v>74</v>
      </c>
    </row>
    <row r="306" spans="2:3" x14ac:dyDescent="0.25">
      <c r="B306" t="s">
        <v>72</v>
      </c>
      <c r="C306" t="s">
        <v>74</v>
      </c>
    </row>
    <row r="307" spans="2:3" x14ac:dyDescent="0.25">
      <c r="B307" t="s">
        <v>73</v>
      </c>
      <c r="C307" t="s">
        <v>74</v>
      </c>
    </row>
    <row r="308" spans="2:3" x14ac:dyDescent="0.25">
      <c r="B308" t="s">
        <v>131</v>
      </c>
      <c r="C308" t="s">
        <v>77</v>
      </c>
    </row>
    <row r="309" spans="2:3" x14ac:dyDescent="0.25">
      <c r="B309" t="s">
        <v>132</v>
      </c>
      <c r="C309" t="s">
        <v>74</v>
      </c>
    </row>
    <row r="310" spans="2:3" x14ac:dyDescent="0.25">
      <c r="B310" t="s">
        <v>14</v>
      </c>
      <c r="C310" t="s">
        <v>77</v>
      </c>
    </row>
    <row r="311" spans="2:3" x14ac:dyDescent="0.25">
      <c r="B311" t="s">
        <v>133</v>
      </c>
      <c r="C311" t="s">
        <v>134</v>
      </c>
    </row>
    <row r="312" spans="2:3" x14ac:dyDescent="0.25">
      <c r="B312" t="s">
        <v>135</v>
      </c>
      <c r="C312" t="s">
        <v>134</v>
      </c>
    </row>
    <row r="313" spans="2:3" x14ac:dyDescent="0.25">
      <c r="B313" t="s">
        <v>15</v>
      </c>
      <c r="C313" t="s">
        <v>77</v>
      </c>
    </row>
    <row r="314" spans="2:3" x14ac:dyDescent="0.25">
      <c r="B314" t="s">
        <v>133</v>
      </c>
      <c r="C314" t="s">
        <v>134</v>
      </c>
    </row>
    <row r="315" spans="2:3" x14ac:dyDescent="0.25">
      <c r="B315" t="s">
        <v>135</v>
      </c>
      <c r="C315" t="s">
        <v>134</v>
      </c>
    </row>
    <row r="316" spans="2:3" x14ac:dyDescent="0.25">
      <c r="B316" t="s">
        <v>5</v>
      </c>
      <c r="C316" t="s">
        <v>77</v>
      </c>
    </row>
    <row r="317" spans="2:3" x14ac:dyDescent="0.25">
      <c r="B317" t="s">
        <v>133</v>
      </c>
      <c r="C317" t="s">
        <v>134</v>
      </c>
    </row>
    <row r="318" spans="2:3" x14ac:dyDescent="0.25">
      <c r="B318" t="s">
        <v>135</v>
      </c>
      <c r="C318" t="s">
        <v>134</v>
      </c>
    </row>
    <row r="319" spans="2:3" x14ac:dyDescent="0.25">
      <c r="B319" t="s">
        <v>136</v>
      </c>
      <c r="C319" t="s">
        <v>77</v>
      </c>
    </row>
    <row r="320" spans="2:3" x14ac:dyDescent="0.25">
      <c r="B320" t="s">
        <v>43</v>
      </c>
      <c r="C320" t="s">
        <v>137</v>
      </c>
    </row>
    <row r="321" spans="2:3" x14ac:dyDescent="0.25">
      <c r="B321" t="s">
        <v>8</v>
      </c>
      <c r="C321" t="s">
        <v>74</v>
      </c>
    </row>
    <row r="322" spans="2:3" x14ac:dyDescent="0.25">
      <c r="B322" t="s">
        <v>72</v>
      </c>
      <c r="C322" t="s">
        <v>74</v>
      </c>
    </row>
    <row r="323" spans="2:3" x14ac:dyDescent="0.25">
      <c r="B323" t="s">
        <v>73</v>
      </c>
      <c r="C323" t="s">
        <v>74</v>
      </c>
    </row>
    <row r="324" spans="2:3" x14ac:dyDescent="0.25">
      <c r="B324" t="s">
        <v>138</v>
      </c>
      <c r="C324" t="s">
        <v>74</v>
      </c>
    </row>
    <row r="325" spans="2:3" x14ac:dyDescent="0.25">
      <c r="B325" t="s">
        <v>139</v>
      </c>
      <c r="C325" t="s">
        <v>77</v>
      </c>
    </row>
    <row r="326" spans="2:3" x14ac:dyDescent="0.25">
      <c r="B326" t="s">
        <v>114</v>
      </c>
      <c r="C326" t="s">
        <v>115</v>
      </c>
    </row>
    <row r="327" spans="2:3" x14ac:dyDescent="0.25">
      <c r="B327" t="s">
        <v>120</v>
      </c>
      <c r="C327" t="s">
        <v>74</v>
      </c>
    </row>
    <row r="328" spans="2:3" x14ac:dyDescent="0.25">
      <c r="B328" t="s">
        <v>127</v>
      </c>
      <c r="C328" t="s">
        <v>115</v>
      </c>
    </row>
    <row r="329" spans="2:3" x14ac:dyDescent="0.25">
      <c r="B329" t="s">
        <v>120</v>
      </c>
      <c r="C329" t="s">
        <v>74</v>
      </c>
    </row>
    <row r="330" spans="2:3" x14ac:dyDescent="0.25">
      <c r="B330" t="s">
        <v>120</v>
      </c>
      <c r="C330" t="s">
        <v>74</v>
      </c>
    </row>
    <row r="331" spans="2:3" x14ac:dyDescent="0.25">
      <c r="B331" t="s">
        <v>86</v>
      </c>
      <c r="C331" t="s">
        <v>77</v>
      </c>
    </row>
    <row r="332" spans="2:3" x14ac:dyDescent="0.25">
      <c r="B332" t="s">
        <v>43</v>
      </c>
      <c r="C332" t="s">
        <v>84</v>
      </c>
    </row>
    <row r="333" spans="2:3" x14ac:dyDescent="0.25">
      <c r="B333" t="s">
        <v>9</v>
      </c>
      <c r="C333" t="s">
        <v>74</v>
      </c>
    </row>
    <row r="334" spans="2:3" x14ac:dyDescent="0.25">
      <c r="B334" t="s">
        <v>72</v>
      </c>
      <c r="C334" t="s">
        <v>74</v>
      </c>
    </row>
    <row r="335" spans="2:3" x14ac:dyDescent="0.25">
      <c r="B335" t="s">
        <v>73</v>
      </c>
      <c r="C335" t="s">
        <v>74</v>
      </c>
    </row>
    <row r="336" spans="2:3" x14ac:dyDescent="0.25">
      <c r="B336" t="s">
        <v>140</v>
      </c>
      <c r="C336" t="s">
        <v>77</v>
      </c>
    </row>
    <row r="337" spans="2:3" x14ac:dyDescent="0.25">
      <c r="B337" t="s">
        <v>43</v>
      </c>
      <c r="C337" t="s">
        <v>84</v>
      </c>
    </row>
    <row r="338" spans="2:3" x14ac:dyDescent="0.25">
      <c r="B338" t="s">
        <v>9</v>
      </c>
      <c r="C338" t="s">
        <v>74</v>
      </c>
    </row>
    <row r="339" spans="2:3" x14ac:dyDescent="0.25">
      <c r="B339" t="s">
        <v>72</v>
      </c>
      <c r="C339" t="s">
        <v>74</v>
      </c>
    </row>
    <row r="340" spans="2:3" x14ac:dyDescent="0.25">
      <c r="B340" t="s">
        <v>73</v>
      </c>
      <c r="C340" t="s">
        <v>74</v>
      </c>
    </row>
    <row r="341" spans="2:3" x14ac:dyDescent="0.25">
      <c r="B341" t="s">
        <v>119</v>
      </c>
      <c r="C341" t="s">
        <v>338</v>
      </c>
    </row>
    <row r="342" spans="2:3" x14ac:dyDescent="0.25">
      <c r="B342" t="s">
        <v>117</v>
      </c>
      <c r="C342" t="s">
        <v>339</v>
      </c>
    </row>
    <row r="343" spans="2:3" x14ac:dyDescent="0.25">
      <c r="B343" t="s">
        <v>341</v>
      </c>
      <c r="C343" t="s">
        <v>339</v>
      </c>
    </row>
    <row r="344" spans="2:3" x14ac:dyDescent="0.25">
      <c r="B344" t="s">
        <v>343</v>
      </c>
      <c r="C344" t="s">
        <v>339</v>
      </c>
    </row>
    <row r="345" spans="2:3" x14ac:dyDescent="0.25">
      <c r="B345" t="s">
        <v>345</v>
      </c>
      <c r="C345" t="s">
        <v>339</v>
      </c>
    </row>
    <row r="346" spans="2:3" x14ac:dyDescent="0.25">
      <c r="B346" t="s">
        <v>347</v>
      </c>
      <c r="C346" t="s">
        <v>339</v>
      </c>
    </row>
    <row r="347" spans="2:3" x14ac:dyDescent="0.25">
      <c r="B347" t="s">
        <v>372</v>
      </c>
      <c r="C347" t="s">
        <v>373</v>
      </c>
    </row>
    <row r="348" spans="2:3" x14ac:dyDescent="0.25">
      <c r="B348" t="s">
        <v>374</v>
      </c>
      <c r="C348" t="s">
        <v>115</v>
      </c>
    </row>
    <row r="349" spans="2:3" x14ac:dyDescent="0.25">
      <c r="B349" t="s">
        <v>417</v>
      </c>
      <c r="C349" t="s">
        <v>77</v>
      </c>
    </row>
    <row r="350" spans="2:3" x14ac:dyDescent="0.25">
      <c r="B350" t="s">
        <v>40</v>
      </c>
      <c r="C350" t="s">
        <v>74</v>
      </c>
    </row>
    <row r="351" spans="2:3" x14ac:dyDescent="0.25">
      <c r="B351" t="s">
        <v>375</v>
      </c>
      <c r="C351" t="s">
        <v>130</v>
      </c>
    </row>
    <row r="352" spans="2:3" x14ac:dyDescent="0.25">
      <c r="B352" t="s">
        <v>8</v>
      </c>
      <c r="C352" t="s">
        <v>74</v>
      </c>
    </row>
    <row r="353" spans="2:3" x14ac:dyDescent="0.25">
      <c r="B353" t="s">
        <v>72</v>
      </c>
      <c r="C353" t="s">
        <v>74</v>
      </c>
    </row>
    <row r="354" spans="2:3" x14ac:dyDescent="0.25">
      <c r="B354" t="s">
        <v>73</v>
      </c>
      <c r="C354" t="s">
        <v>74</v>
      </c>
    </row>
    <row r="355" spans="2:3" x14ac:dyDescent="0.25">
      <c r="B355" t="s">
        <v>39</v>
      </c>
      <c r="C355" t="s">
        <v>125</v>
      </c>
    </row>
    <row r="356" spans="2:3" x14ac:dyDescent="0.25">
      <c r="B356" t="s">
        <v>75</v>
      </c>
      <c r="C356" t="s">
        <v>78</v>
      </c>
    </row>
    <row r="357" spans="2:3" x14ac:dyDescent="0.25">
      <c r="B357" t="s">
        <v>79</v>
      </c>
      <c r="C357" t="s">
        <v>80</v>
      </c>
    </row>
    <row r="358" spans="2:3" x14ac:dyDescent="0.25">
      <c r="B358" t="s">
        <v>81</v>
      </c>
      <c r="C358" t="s">
        <v>80</v>
      </c>
    </row>
    <row r="359" spans="2:3" x14ac:dyDescent="0.25">
      <c r="B359" t="s">
        <v>82</v>
      </c>
      <c r="C359" t="s">
        <v>74</v>
      </c>
    </row>
    <row r="360" spans="2:3" x14ac:dyDescent="0.25">
      <c r="B360" t="s">
        <v>83</v>
      </c>
      <c r="C360" t="s">
        <v>74</v>
      </c>
    </row>
    <row r="361" spans="2:3" x14ac:dyDescent="0.25">
      <c r="B361" t="s">
        <v>76</v>
      </c>
      <c r="C361" t="s">
        <v>80</v>
      </c>
    </row>
    <row r="362" spans="2:3" x14ac:dyDescent="0.25">
      <c r="B362" t="s">
        <v>43</v>
      </c>
      <c r="C362" t="s">
        <v>137</v>
      </c>
    </row>
    <row r="363" spans="2:3" x14ac:dyDescent="0.25">
      <c r="B363" t="s">
        <v>8</v>
      </c>
      <c r="C363" t="s">
        <v>74</v>
      </c>
    </row>
    <row r="364" spans="2:3" x14ac:dyDescent="0.25">
      <c r="B364" t="s">
        <v>72</v>
      </c>
      <c r="C364" t="s">
        <v>74</v>
      </c>
    </row>
    <row r="365" spans="2:3" x14ac:dyDescent="0.25">
      <c r="B365" t="s">
        <v>73</v>
      </c>
      <c r="C365" t="s">
        <v>74</v>
      </c>
    </row>
    <row r="366" spans="2:3" x14ac:dyDescent="0.25">
      <c r="B366" t="s">
        <v>116</v>
      </c>
      <c r="C366" t="s">
        <v>77</v>
      </c>
    </row>
    <row r="367" spans="2:3" x14ac:dyDescent="0.25">
      <c r="B367" t="s">
        <v>12</v>
      </c>
      <c r="C367" t="s">
        <v>77</v>
      </c>
    </row>
    <row r="368" spans="2:3" x14ac:dyDescent="0.25">
      <c r="B368" t="s">
        <v>16</v>
      </c>
      <c r="C368" t="s">
        <v>74</v>
      </c>
    </row>
    <row r="369" spans="2:3" x14ac:dyDescent="0.25">
      <c r="B369" t="s">
        <v>117</v>
      </c>
      <c r="C369" t="s">
        <v>74</v>
      </c>
    </row>
    <row r="370" spans="2:3" x14ac:dyDescent="0.25">
      <c r="B370" t="s">
        <v>55</v>
      </c>
      <c r="C370" t="s">
        <v>77</v>
      </c>
    </row>
    <row r="371" spans="2:3" x14ac:dyDescent="0.25">
      <c r="B371" t="s">
        <v>16</v>
      </c>
      <c r="C371" t="s">
        <v>74</v>
      </c>
    </row>
    <row r="372" spans="2:3" x14ac:dyDescent="0.25">
      <c r="B372" t="s">
        <v>117</v>
      </c>
      <c r="C372" t="s">
        <v>74</v>
      </c>
    </row>
    <row r="373" spans="2:3" x14ac:dyDescent="0.25">
      <c r="B373" t="s">
        <v>118</v>
      </c>
      <c r="C373" t="s">
        <v>77</v>
      </c>
    </row>
    <row r="374" spans="2:3" x14ac:dyDescent="0.25">
      <c r="B374" t="s">
        <v>9</v>
      </c>
      <c r="C374" t="s">
        <v>74</v>
      </c>
    </row>
    <row r="375" spans="2:3" x14ac:dyDescent="0.25">
      <c r="B375" t="s">
        <v>387</v>
      </c>
      <c r="C375" t="s">
        <v>115</v>
      </c>
    </row>
    <row r="376" spans="2:3" x14ac:dyDescent="0.25">
      <c r="B376" t="s">
        <v>417</v>
      </c>
      <c r="C376" t="s">
        <v>77</v>
      </c>
    </row>
    <row r="377" spans="2:3" x14ac:dyDescent="0.25">
      <c r="B377" t="s">
        <v>40</v>
      </c>
      <c r="C377" t="s">
        <v>74</v>
      </c>
    </row>
    <row r="378" spans="2:3" x14ac:dyDescent="0.25">
      <c r="B378" t="s">
        <v>375</v>
      </c>
      <c r="C378" t="s">
        <v>130</v>
      </c>
    </row>
    <row r="379" spans="2:3" x14ac:dyDescent="0.25">
      <c r="B379" t="s">
        <v>8</v>
      </c>
      <c r="C379" t="s">
        <v>74</v>
      </c>
    </row>
    <row r="380" spans="2:3" x14ac:dyDescent="0.25">
      <c r="B380" t="s">
        <v>72</v>
      </c>
      <c r="C380" t="s">
        <v>74</v>
      </c>
    </row>
    <row r="381" spans="2:3" x14ac:dyDescent="0.25">
      <c r="B381" t="s">
        <v>73</v>
      </c>
      <c r="C381" t="s">
        <v>74</v>
      </c>
    </row>
    <row r="382" spans="2:3" x14ac:dyDescent="0.25">
      <c r="B382" t="s">
        <v>39</v>
      </c>
      <c r="C382" t="s">
        <v>125</v>
      </c>
    </row>
    <row r="383" spans="2:3" x14ac:dyDescent="0.25">
      <c r="B383" t="s">
        <v>75</v>
      </c>
      <c r="C383" t="s">
        <v>78</v>
      </c>
    </row>
    <row r="384" spans="2:3" x14ac:dyDescent="0.25">
      <c r="B384" t="s">
        <v>79</v>
      </c>
      <c r="C384" t="s">
        <v>80</v>
      </c>
    </row>
    <row r="385" spans="2:3" x14ac:dyDescent="0.25">
      <c r="B385" t="s">
        <v>81</v>
      </c>
      <c r="C385" t="s">
        <v>80</v>
      </c>
    </row>
    <row r="386" spans="2:3" x14ac:dyDescent="0.25">
      <c r="B386" t="s">
        <v>82</v>
      </c>
      <c r="C386" t="s">
        <v>74</v>
      </c>
    </row>
    <row r="387" spans="2:3" x14ac:dyDescent="0.25">
      <c r="B387" t="s">
        <v>83</v>
      </c>
      <c r="C387" t="s">
        <v>74</v>
      </c>
    </row>
    <row r="388" spans="2:3" x14ac:dyDescent="0.25">
      <c r="B388" t="s">
        <v>76</v>
      </c>
      <c r="C388" t="s">
        <v>80</v>
      </c>
    </row>
    <row r="389" spans="2:3" x14ac:dyDescent="0.25">
      <c r="B389" t="s">
        <v>43</v>
      </c>
      <c r="C389" t="s">
        <v>137</v>
      </c>
    </row>
    <row r="390" spans="2:3" x14ac:dyDescent="0.25">
      <c r="B390" t="s">
        <v>8</v>
      </c>
      <c r="C390" t="s">
        <v>74</v>
      </c>
    </row>
    <row r="391" spans="2:3" x14ac:dyDescent="0.25">
      <c r="B391" t="s">
        <v>72</v>
      </c>
      <c r="C391" t="s">
        <v>74</v>
      </c>
    </row>
    <row r="392" spans="2:3" x14ac:dyDescent="0.25">
      <c r="B392" t="s">
        <v>73</v>
      </c>
      <c r="C392" t="s">
        <v>74</v>
      </c>
    </row>
    <row r="393" spans="2:3" x14ac:dyDescent="0.25">
      <c r="B393" t="s">
        <v>116</v>
      </c>
      <c r="C393" t="s">
        <v>77</v>
      </c>
    </row>
    <row r="394" spans="2:3" x14ac:dyDescent="0.25">
      <c r="B394" t="s">
        <v>12</v>
      </c>
      <c r="C394" t="s">
        <v>77</v>
      </c>
    </row>
    <row r="395" spans="2:3" x14ac:dyDescent="0.25">
      <c r="B395" t="s">
        <v>16</v>
      </c>
      <c r="C395" t="s">
        <v>74</v>
      </c>
    </row>
    <row r="396" spans="2:3" x14ac:dyDescent="0.25">
      <c r="B396" t="s">
        <v>117</v>
      </c>
      <c r="C396" t="s">
        <v>74</v>
      </c>
    </row>
    <row r="397" spans="2:3" x14ac:dyDescent="0.25">
      <c r="B397" t="s">
        <v>55</v>
      </c>
      <c r="C397" t="s">
        <v>77</v>
      </c>
    </row>
    <row r="398" spans="2:3" x14ac:dyDescent="0.25">
      <c r="B398" t="s">
        <v>16</v>
      </c>
      <c r="C398" t="s">
        <v>74</v>
      </c>
    </row>
    <row r="399" spans="2:3" x14ac:dyDescent="0.25">
      <c r="B399" t="s">
        <v>117</v>
      </c>
      <c r="C399" t="s">
        <v>74</v>
      </c>
    </row>
    <row r="400" spans="2:3" x14ac:dyDescent="0.25">
      <c r="B400" t="s">
        <v>118</v>
      </c>
      <c r="C400" t="s">
        <v>77</v>
      </c>
    </row>
    <row r="401" spans="2:3" x14ac:dyDescent="0.25">
      <c r="B401" t="s">
        <v>9</v>
      </c>
      <c r="C401" t="s">
        <v>74</v>
      </c>
    </row>
    <row r="402" spans="2:3" x14ac:dyDescent="0.25">
      <c r="B402" t="s">
        <v>139</v>
      </c>
      <c r="C402" t="s">
        <v>77</v>
      </c>
    </row>
    <row r="403" spans="2:3" x14ac:dyDescent="0.25">
      <c r="B403" t="s">
        <v>114</v>
      </c>
      <c r="C403" t="s">
        <v>115</v>
      </c>
    </row>
    <row r="404" spans="2:3" x14ac:dyDescent="0.25">
      <c r="B404" t="s">
        <v>118</v>
      </c>
      <c r="C404" t="s">
        <v>74</v>
      </c>
    </row>
    <row r="405" spans="2:3" x14ac:dyDescent="0.25">
      <c r="B405" t="s">
        <v>123</v>
      </c>
      <c r="C405" t="s">
        <v>74</v>
      </c>
    </row>
    <row r="406" spans="2:3" x14ac:dyDescent="0.25">
      <c r="B406" t="s">
        <v>127</v>
      </c>
      <c r="C406" t="s">
        <v>115</v>
      </c>
    </row>
    <row r="407" spans="2:3" x14ac:dyDescent="0.25">
      <c r="B407" t="s">
        <v>118</v>
      </c>
      <c r="C407" t="s">
        <v>74</v>
      </c>
    </row>
    <row r="408" spans="2:3" x14ac:dyDescent="0.25">
      <c r="B408" t="s">
        <v>123</v>
      </c>
      <c r="C408" t="s">
        <v>74</v>
      </c>
    </row>
    <row r="409" spans="2:3" x14ac:dyDescent="0.25">
      <c r="B409" t="s">
        <v>86</v>
      </c>
      <c r="C409" t="s">
        <v>77</v>
      </c>
    </row>
    <row r="410" spans="2:3" x14ac:dyDescent="0.25">
      <c r="B410" t="s">
        <v>43</v>
      </c>
      <c r="C410" t="s">
        <v>84</v>
      </c>
    </row>
    <row r="411" spans="2:3" x14ac:dyDescent="0.25">
      <c r="B411" t="s">
        <v>9</v>
      </c>
      <c r="C411" t="s">
        <v>74</v>
      </c>
    </row>
    <row r="412" spans="2:3" x14ac:dyDescent="0.25">
      <c r="B412" t="s">
        <v>72</v>
      </c>
      <c r="C412" t="s">
        <v>74</v>
      </c>
    </row>
    <row r="413" spans="2:3" x14ac:dyDescent="0.25">
      <c r="B413" t="s">
        <v>73</v>
      </c>
      <c r="C413" t="s">
        <v>74</v>
      </c>
    </row>
    <row r="414" spans="2:3" x14ac:dyDescent="0.25">
      <c r="B414" t="s">
        <v>426</v>
      </c>
      <c r="C414" t="s">
        <v>142</v>
      </c>
    </row>
    <row r="415" spans="2:3" x14ac:dyDescent="0.25">
      <c r="B415" t="s">
        <v>114</v>
      </c>
      <c r="C415" t="s">
        <v>115</v>
      </c>
    </row>
    <row r="416" spans="2:3" x14ac:dyDescent="0.25">
      <c r="B416" t="s">
        <v>116</v>
      </c>
      <c r="C416" t="s">
        <v>77</v>
      </c>
    </row>
    <row r="417" spans="2:3" x14ac:dyDescent="0.25">
      <c r="B417" t="s">
        <v>12</v>
      </c>
      <c r="C417" t="s">
        <v>77</v>
      </c>
    </row>
    <row r="418" spans="2:3" x14ac:dyDescent="0.25">
      <c r="B418" t="s">
        <v>16</v>
      </c>
      <c r="C418" t="s">
        <v>74</v>
      </c>
    </row>
    <row r="419" spans="2:3" x14ac:dyDescent="0.25">
      <c r="B419" t="s">
        <v>117</v>
      </c>
      <c r="C419" t="s">
        <v>74</v>
      </c>
    </row>
    <row r="420" spans="2:3" x14ac:dyDescent="0.25">
      <c r="B420" t="s">
        <v>55</v>
      </c>
      <c r="C420" t="s">
        <v>77</v>
      </c>
    </row>
    <row r="421" spans="2:3" x14ac:dyDescent="0.25">
      <c r="B421" t="s">
        <v>16</v>
      </c>
      <c r="C421" t="s">
        <v>74</v>
      </c>
    </row>
    <row r="422" spans="2:3" x14ac:dyDescent="0.25">
      <c r="B422" t="s">
        <v>117</v>
      </c>
      <c r="C422" t="s">
        <v>74</v>
      </c>
    </row>
    <row r="423" spans="2:3" x14ac:dyDescent="0.25">
      <c r="B423" t="s">
        <v>118</v>
      </c>
      <c r="C423" t="s">
        <v>77</v>
      </c>
    </row>
    <row r="424" spans="2:3" x14ac:dyDescent="0.25">
      <c r="B424" t="s">
        <v>9</v>
      </c>
      <c r="C424" t="s">
        <v>74</v>
      </c>
    </row>
    <row r="425" spans="2:3" x14ac:dyDescent="0.25">
      <c r="B425" t="s">
        <v>119</v>
      </c>
      <c r="C425" t="s">
        <v>77</v>
      </c>
    </row>
    <row r="426" spans="2:3" x14ac:dyDescent="0.25">
      <c r="B426" t="s">
        <v>120</v>
      </c>
      <c r="C426" t="s">
        <v>74</v>
      </c>
    </row>
    <row r="427" spans="2:3" x14ac:dyDescent="0.25">
      <c r="B427" t="s">
        <v>121</v>
      </c>
      <c r="C427" t="s">
        <v>74</v>
      </c>
    </row>
    <row r="428" spans="2:3" x14ac:dyDescent="0.25">
      <c r="B428" t="s">
        <v>417</v>
      </c>
      <c r="C428" t="s">
        <v>77</v>
      </c>
    </row>
    <row r="429" spans="2:3" x14ac:dyDescent="0.25">
      <c r="B429" t="s">
        <v>120</v>
      </c>
      <c r="C429" t="s">
        <v>74</v>
      </c>
    </row>
    <row r="430" spans="2:3" x14ac:dyDescent="0.25">
      <c r="B430" t="s">
        <v>122</v>
      </c>
      <c r="C430" t="s">
        <v>77</v>
      </c>
    </row>
    <row r="431" spans="2:3" x14ac:dyDescent="0.25">
      <c r="B431" t="s">
        <v>123</v>
      </c>
      <c r="C431" t="s">
        <v>74</v>
      </c>
    </row>
    <row r="432" spans="2:3" x14ac:dyDescent="0.25">
      <c r="B432" t="s">
        <v>124</v>
      </c>
      <c r="C432" t="s">
        <v>125</v>
      </c>
    </row>
    <row r="433" spans="2:3" x14ac:dyDescent="0.25">
      <c r="B433" t="s">
        <v>75</v>
      </c>
      <c r="C433" t="s">
        <v>78</v>
      </c>
    </row>
    <row r="434" spans="2:3" x14ac:dyDescent="0.25">
      <c r="B434" t="s">
        <v>79</v>
      </c>
      <c r="C434" t="s">
        <v>80</v>
      </c>
    </row>
    <row r="435" spans="2:3" x14ac:dyDescent="0.25">
      <c r="B435" t="s">
        <v>81</v>
      </c>
      <c r="C435" t="s">
        <v>80</v>
      </c>
    </row>
    <row r="436" spans="2:3" x14ac:dyDescent="0.25">
      <c r="B436" t="s">
        <v>82</v>
      </c>
      <c r="C436" t="s">
        <v>74</v>
      </c>
    </row>
    <row r="437" spans="2:3" x14ac:dyDescent="0.25">
      <c r="B437" t="s">
        <v>83</v>
      </c>
      <c r="C437" t="s">
        <v>74</v>
      </c>
    </row>
    <row r="438" spans="2:3" x14ac:dyDescent="0.25">
      <c r="B438" t="s">
        <v>76</v>
      </c>
      <c r="C438" t="s">
        <v>80</v>
      </c>
    </row>
    <row r="439" spans="2:3" x14ac:dyDescent="0.25">
      <c r="B439" t="s">
        <v>126</v>
      </c>
      <c r="C439" t="s">
        <v>125</v>
      </c>
    </row>
    <row r="440" spans="2:3" x14ac:dyDescent="0.25">
      <c r="B440" t="s">
        <v>75</v>
      </c>
      <c r="C440" t="s">
        <v>78</v>
      </c>
    </row>
    <row r="441" spans="2:3" x14ac:dyDescent="0.25">
      <c r="B441" t="s">
        <v>79</v>
      </c>
      <c r="C441" t="s">
        <v>80</v>
      </c>
    </row>
    <row r="442" spans="2:3" x14ac:dyDescent="0.25">
      <c r="B442" t="s">
        <v>81</v>
      </c>
      <c r="C442" t="s">
        <v>80</v>
      </c>
    </row>
    <row r="443" spans="2:3" x14ac:dyDescent="0.25">
      <c r="B443" t="s">
        <v>82</v>
      </c>
      <c r="C443" t="s">
        <v>74</v>
      </c>
    </row>
    <row r="444" spans="2:3" x14ac:dyDescent="0.25">
      <c r="B444" t="s">
        <v>83</v>
      </c>
      <c r="C444" t="s">
        <v>74</v>
      </c>
    </row>
    <row r="445" spans="2:3" x14ac:dyDescent="0.25">
      <c r="B445" t="s">
        <v>76</v>
      </c>
      <c r="C445" t="s">
        <v>80</v>
      </c>
    </row>
    <row r="446" spans="2:3" x14ac:dyDescent="0.25">
      <c r="B446" t="s">
        <v>127</v>
      </c>
      <c r="C446" t="s">
        <v>115</v>
      </c>
    </row>
    <row r="447" spans="2:3" x14ac:dyDescent="0.25">
      <c r="B447" t="s">
        <v>116</v>
      </c>
      <c r="C447" t="s">
        <v>77</v>
      </c>
    </row>
    <row r="448" spans="2:3" x14ac:dyDescent="0.25">
      <c r="B448" t="s">
        <v>12</v>
      </c>
      <c r="C448" t="s">
        <v>77</v>
      </c>
    </row>
    <row r="449" spans="2:3" x14ac:dyDescent="0.25">
      <c r="B449" t="s">
        <v>16</v>
      </c>
      <c r="C449" t="s">
        <v>74</v>
      </c>
    </row>
    <row r="450" spans="2:3" x14ac:dyDescent="0.25">
      <c r="B450" t="s">
        <v>117</v>
      </c>
      <c r="C450" t="s">
        <v>74</v>
      </c>
    </row>
    <row r="451" spans="2:3" x14ac:dyDescent="0.25">
      <c r="B451" t="s">
        <v>55</v>
      </c>
      <c r="C451" t="s">
        <v>77</v>
      </c>
    </row>
    <row r="452" spans="2:3" x14ac:dyDescent="0.25">
      <c r="B452" t="s">
        <v>16</v>
      </c>
      <c r="C452" t="s">
        <v>74</v>
      </c>
    </row>
    <row r="453" spans="2:3" x14ac:dyDescent="0.25">
      <c r="B453" t="s">
        <v>117</v>
      </c>
      <c r="C453" t="s">
        <v>74</v>
      </c>
    </row>
    <row r="454" spans="2:3" x14ac:dyDescent="0.25">
      <c r="B454" t="s">
        <v>118</v>
      </c>
      <c r="C454" t="s">
        <v>77</v>
      </c>
    </row>
    <row r="455" spans="2:3" x14ac:dyDescent="0.25">
      <c r="B455" t="s">
        <v>9</v>
      </c>
      <c r="C455" t="s">
        <v>74</v>
      </c>
    </row>
    <row r="456" spans="2:3" x14ac:dyDescent="0.25">
      <c r="B456" t="s">
        <v>119</v>
      </c>
      <c r="C456" t="s">
        <v>77</v>
      </c>
    </row>
    <row r="457" spans="2:3" x14ac:dyDescent="0.25">
      <c r="B457" t="s">
        <v>120</v>
      </c>
      <c r="C457" t="s">
        <v>74</v>
      </c>
    </row>
    <row r="458" spans="2:3" x14ac:dyDescent="0.25">
      <c r="B458" t="s">
        <v>121</v>
      </c>
      <c r="C458" t="s">
        <v>74</v>
      </c>
    </row>
    <row r="459" spans="2:3" x14ac:dyDescent="0.25">
      <c r="B459" t="s">
        <v>417</v>
      </c>
      <c r="C459" t="s">
        <v>77</v>
      </c>
    </row>
    <row r="460" spans="2:3" x14ac:dyDescent="0.25">
      <c r="B460" t="s">
        <v>120</v>
      </c>
      <c r="C460" t="s">
        <v>74</v>
      </c>
    </row>
    <row r="461" spans="2:3" x14ac:dyDescent="0.25">
      <c r="B461" t="s">
        <v>122</v>
      </c>
      <c r="C461" t="s">
        <v>77</v>
      </c>
    </row>
    <row r="462" spans="2:3" x14ac:dyDescent="0.25">
      <c r="B462" t="s">
        <v>123</v>
      </c>
      <c r="C462" t="s">
        <v>74</v>
      </c>
    </row>
    <row r="463" spans="2:3" x14ac:dyDescent="0.25">
      <c r="B463" t="s">
        <v>124</v>
      </c>
      <c r="C463" t="s">
        <v>125</v>
      </c>
    </row>
    <row r="464" spans="2:3" x14ac:dyDescent="0.25">
      <c r="B464" t="s">
        <v>75</v>
      </c>
      <c r="C464" t="s">
        <v>78</v>
      </c>
    </row>
    <row r="465" spans="2:3" x14ac:dyDescent="0.25">
      <c r="B465" t="s">
        <v>79</v>
      </c>
      <c r="C465" t="s">
        <v>80</v>
      </c>
    </row>
    <row r="466" spans="2:3" x14ac:dyDescent="0.25">
      <c r="B466" t="s">
        <v>81</v>
      </c>
      <c r="C466" t="s">
        <v>80</v>
      </c>
    </row>
    <row r="467" spans="2:3" x14ac:dyDescent="0.25">
      <c r="B467" t="s">
        <v>82</v>
      </c>
      <c r="C467" t="s">
        <v>74</v>
      </c>
    </row>
    <row r="468" spans="2:3" x14ac:dyDescent="0.25">
      <c r="B468" t="s">
        <v>83</v>
      </c>
      <c r="C468" t="s">
        <v>74</v>
      </c>
    </row>
    <row r="469" spans="2:3" x14ac:dyDescent="0.25">
      <c r="B469" t="s">
        <v>76</v>
      </c>
      <c r="C469" t="s">
        <v>80</v>
      </c>
    </row>
    <row r="470" spans="2:3" x14ac:dyDescent="0.25">
      <c r="B470" t="s">
        <v>126</v>
      </c>
      <c r="C470" t="s">
        <v>125</v>
      </c>
    </row>
    <row r="471" spans="2:3" x14ac:dyDescent="0.25">
      <c r="B471" t="s">
        <v>75</v>
      </c>
      <c r="C471" t="s">
        <v>78</v>
      </c>
    </row>
    <row r="472" spans="2:3" x14ac:dyDescent="0.25">
      <c r="B472" t="s">
        <v>79</v>
      </c>
      <c r="C472" t="s">
        <v>80</v>
      </c>
    </row>
    <row r="473" spans="2:3" x14ac:dyDescent="0.25">
      <c r="B473" t="s">
        <v>81</v>
      </c>
      <c r="C473" t="s">
        <v>80</v>
      </c>
    </row>
    <row r="474" spans="2:3" x14ac:dyDescent="0.25">
      <c r="B474" t="s">
        <v>82</v>
      </c>
      <c r="C474" t="s">
        <v>74</v>
      </c>
    </row>
    <row r="475" spans="2:3" x14ac:dyDescent="0.25">
      <c r="B475" t="s">
        <v>83</v>
      </c>
      <c r="C475" t="s">
        <v>74</v>
      </c>
    </row>
    <row r="476" spans="2:3" x14ac:dyDescent="0.25">
      <c r="B476" t="s">
        <v>76</v>
      </c>
      <c r="C476" t="s">
        <v>80</v>
      </c>
    </row>
    <row r="477" spans="2:3" x14ac:dyDescent="0.25">
      <c r="B477" t="s">
        <v>128</v>
      </c>
      <c r="C477" t="s">
        <v>129</v>
      </c>
    </row>
    <row r="478" spans="2:3" x14ac:dyDescent="0.25">
      <c r="B478" t="s">
        <v>16</v>
      </c>
      <c r="C478" t="s">
        <v>130</v>
      </c>
    </row>
    <row r="479" spans="2:3" x14ac:dyDescent="0.25">
      <c r="B479" t="s">
        <v>8</v>
      </c>
      <c r="C479" t="s">
        <v>74</v>
      </c>
    </row>
    <row r="480" spans="2:3" x14ac:dyDescent="0.25">
      <c r="B480" t="s">
        <v>72</v>
      </c>
      <c r="C480" t="s">
        <v>74</v>
      </c>
    </row>
    <row r="481" spans="2:3" x14ac:dyDescent="0.25">
      <c r="B481" t="s">
        <v>73</v>
      </c>
      <c r="C481" t="s">
        <v>74</v>
      </c>
    </row>
    <row r="482" spans="2:3" x14ac:dyDescent="0.25">
      <c r="B482" t="s">
        <v>1</v>
      </c>
      <c r="C482" t="s">
        <v>84</v>
      </c>
    </row>
    <row r="483" spans="2:3" x14ac:dyDescent="0.25">
      <c r="B483" t="s">
        <v>9</v>
      </c>
      <c r="C483" t="s">
        <v>74</v>
      </c>
    </row>
    <row r="484" spans="2:3" x14ac:dyDescent="0.25">
      <c r="B484" t="s">
        <v>72</v>
      </c>
      <c r="C484" t="s">
        <v>74</v>
      </c>
    </row>
    <row r="485" spans="2:3" x14ac:dyDescent="0.25">
      <c r="B485" t="s">
        <v>73</v>
      </c>
      <c r="C485" t="s">
        <v>74</v>
      </c>
    </row>
    <row r="486" spans="2:3" x14ac:dyDescent="0.25">
      <c r="B486" t="s">
        <v>2</v>
      </c>
      <c r="C486" t="s">
        <v>85</v>
      </c>
    </row>
    <row r="487" spans="2:3" x14ac:dyDescent="0.25">
      <c r="B487" t="s">
        <v>10</v>
      </c>
      <c r="C487" t="s">
        <v>74</v>
      </c>
    </row>
    <row r="488" spans="2:3" x14ac:dyDescent="0.25">
      <c r="B488" t="s">
        <v>72</v>
      </c>
      <c r="C488" t="s">
        <v>74</v>
      </c>
    </row>
    <row r="489" spans="2:3" x14ac:dyDescent="0.25">
      <c r="B489" t="s">
        <v>73</v>
      </c>
      <c r="C489" t="s">
        <v>74</v>
      </c>
    </row>
    <row r="490" spans="2:3" x14ac:dyDescent="0.25">
      <c r="B490" t="s">
        <v>131</v>
      </c>
      <c r="C490" t="s">
        <v>77</v>
      </c>
    </row>
    <row r="491" spans="2:3" x14ac:dyDescent="0.25">
      <c r="B491" t="s">
        <v>132</v>
      </c>
      <c r="C491" t="s">
        <v>74</v>
      </c>
    </row>
    <row r="492" spans="2:3" x14ac:dyDescent="0.25">
      <c r="B492" t="s">
        <v>14</v>
      </c>
      <c r="C492" t="s">
        <v>77</v>
      </c>
    </row>
    <row r="493" spans="2:3" x14ac:dyDescent="0.25">
      <c r="B493" t="s">
        <v>133</v>
      </c>
      <c r="C493" t="s">
        <v>134</v>
      </c>
    </row>
    <row r="494" spans="2:3" x14ac:dyDescent="0.25">
      <c r="B494" t="s">
        <v>135</v>
      </c>
      <c r="C494" t="s">
        <v>134</v>
      </c>
    </row>
    <row r="495" spans="2:3" x14ac:dyDescent="0.25">
      <c r="B495" t="s">
        <v>15</v>
      </c>
      <c r="C495" t="s">
        <v>77</v>
      </c>
    </row>
    <row r="496" spans="2:3" x14ac:dyDescent="0.25">
      <c r="B496" t="s">
        <v>133</v>
      </c>
      <c r="C496" t="s">
        <v>134</v>
      </c>
    </row>
    <row r="497" spans="2:3" x14ac:dyDescent="0.25">
      <c r="B497" t="s">
        <v>135</v>
      </c>
      <c r="C497" t="s">
        <v>134</v>
      </c>
    </row>
    <row r="498" spans="2:3" x14ac:dyDescent="0.25">
      <c r="B498" t="s">
        <v>5</v>
      </c>
      <c r="C498" t="s">
        <v>77</v>
      </c>
    </row>
    <row r="499" spans="2:3" x14ac:dyDescent="0.25">
      <c r="B499" t="s">
        <v>133</v>
      </c>
      <c r="C499" t="s">
        <v>134</v>
      </c>
    </row>
    <row r="500" spans="2:3" x14ac:dyDescent="0.25">
      <c r="B500" t="s">
        <v>135</v>
      </c>
      <c r="C500" t="s">
        <v>134</v>
      </c>
    </row>
    <row r="501" spans="2:3" x14ac:dyDescent="0.25">
      <c r="B501" t="s">
        <v>136</v>
      </c>
      <c r="C501" t="s">
        <v>77</v>
      </c>
    </row>
    <row r="502" spans="2:3" x14ac:dyDescent="0.25">
      <c r="B502" t="s">
        <v>43</v>
      </c>
      <c r="C502" t="s">
        <v>137</v>
      </c>
    </row>
    <row r="503" spans="2:3" x14ac:dyDescent="0.25">
      <c r="B503" t="s">
        <v>8</v>
      </c>
      <c r="C503" t="s">
        <v>74</v>
      </c>
    </row>
    <row r="504" spans="2:3" x14ac:dyDescent="0.25">
      <c r="B504" t="s">
        <v>72</v>
      </c>
      <c r="C504" t="s">
        <v>74</v>
      </c>
    </row>
    <row r="505" spans="2:3" x14ac:dyDescent="0.25">
      <c r="B505" t="s">
        <v>73</v>
      </c>
      <c r="C505" t="s">
        <v>74</v>
      </c>
    </row>
    <row r="506" spans="2:3" x14ac:dyDescent="0.25">
      <c r="B506" t="s">
        <v>138</v>
      </c>
      <c r="C506" t="s">
        <v>74</v>
      </c>
    </row>
    <row r="507" spans="2:3" x14ac:dyDescent="0.25">
      <c r="B507" t="s">
        <v>139</v>
      </c>
      <c r="C507" t="s">
        <v>77</v>
      </c>
    </row>
    <row r="508" spans="2:3" x14ac:dyDescent="0.25">
      <c r="B508" t="s">
        <v>114</v>
      </c>
      <c r="C508" t="s">
        <v>115</v>
      </c>
    </row>
    <row r="509" spans="2:3" x14ac:dyDescent="0.25">
      <c r="B509" t="s">
        <v>120</v>
      </c>
      <c r="C509" t="s">
        <v>74</v>
      </c>
    </row>
    <row r="510" spans="2:3" x14ac:dyDescent="0.25">
      <c r="B510" t="s">
        <v>127</v>
      </c>
      <c r="C510" t="s">
        <v>115</v>
      </c>
    </row>
    <row r="511" spans="2:3" x14ac:dyDescent="0.25">
      <c r="B511" t="s">
        <v>120</v>
      </c>
      <c r="C511" t="s">
        <v>74</v>
      </c>
    </row>
    <row r="512" spans="2:3" x14ac:dyDescent="0.25">
      <c r="B512" t="s">
        <v>120</v>
      </c>
      <c r="C512" t="s">
        <v>74</v>
      </c>
    </row>
    <row r="513" spans="2:3" x14ac:dyDescent="0.25">
      <c r="B513" t="s">
        <v>86</v>
      </c>
      <c r="C513" t="s">
        <v>77</v>
      </c>
    </row>
    <row r="514" spans="2:3" x14ac:dyDescent="0.25">
      <c r="B514" t="s">
        <v>43</v>
      </c>
      <c r="C514" t="s">
        <v>84</v>
      </c>
    </row>
    <row r="515" spans="2:3" x14ac:dyDescent="0.25">
      <c r="B515" t="s">
        <v>9</v>
      </c>
      <c r="C515" t="s">
        <v>74</v>
      </c>
    </row>
    <row r="516" spans="2:3" x14ac:dyDescent="0.25">
      <c r="B516" t="s">
        <v>72</v>
      </c>
      <c r="C516" t="s">
        <v>74</v>
      </c>
    </row>
    <row r="517" spans="2:3" x14ac:dyDescent="0.25">
      <c r="B517" t="s">
        <v>73</v>
      </c>
      <c r="C517" t="s">
        <v>74</v>
      </c>
    </row>
    <row r="518" spans="2:3" x14ac:dyDescent="0.25">
      <c r="B518" t="s">
        <v>140</v>
      </c>
      <c r="C518" t="s">
        <v>77</v>
      </c>
    </row>
    <row r="519" spans="2:3" x14ac:dyDescent="0.25">
      <c r="B519" t="s">
        <v>43</v>
      </c>
      <c r="C519" t="s">
        <v>84</v>
      </c>
    </row>
    <row r="520" spans="2:3" x14ac:dyDescent="0.25">
      <c r="B520" t="s">
        <v>9</v>
      </c>
      <c r="C520" t="s">
        <v>74</v>
      </c>
    </row>
    <row r="521" spans="2:3" x14ac:dyDescent="0.25">
      <c r="B521" t="s">
        <v>72</v>
      </c>
      <c r="C521" t="s">
        <v>74</v>
      </c>
    </row>
    <row r="522" spans="2:3" x14ac:dyDescent="0.25">
      <c r="B522" t="s">
        <v>73</v>
      </c>
      <c r="C522" t="s">
        <v>74</v>
      </c>
    </row>
    <row r="523" spans="2:3" x14ac:dyDescent="0.25">
      <c r="B523" t="s">
        <v>119</v>
      </c>
      <c r="C523" t="s">
        <v>338</v>
      </c>
    </row>
    <row r="524" spans="2:3" x14ac:dyDescent="0.25">
      <c r="B524" t="s">
        <v>117</v>
      </c>
      <c r="C524" t="s">
        <v>339</v>
      </c>
    </row>
    <row r="525" spans="2:3" x14ac:dyDescent="0.25">
      <c r="B525" t="s">
        <v>341</v>
      </c>
      <c r="C525" t="s">
        <v>339</v>
      </c>
    </row>
    <row r="526" spans="2:3" x14ac:dyDescent="0.25">
      <c r="B526" t="s">
        <v>343</v>
      </c>
      <c r="C526" t="s">
        <v>339</v>
      </c>
    </row>
    <row r="527" spans="2:3" x14ac:dyDescent="0.25">
      <c r="B527" t="s">
        <v>345</v>
      </c>
      <c r="C527" t="s">
        <v>339</v>
      </c>
    </row>
    <row r="528" spans="2:3" x14ac:dyDescent="0.25">
      <c r="B528" t="s">
        <v>347</v>
      </c>
      <c r="C528" t="s">
        <v>339</v>
      </c>
    </row>
    <row r="529" spans="2:3" x14ac:dyDescent="0.25">
      <c r="B529" t="s">
        <v>509</v>
      </c>
      <c r="C529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83881-12D1-449F-919B-9F3C3BBD200D}">
  <sheetPr codeName="Sheet10" filterMode="1"/>
  <dimension ref="A1:A330"/>
  <sheetViews>
    <sheetView topLeftCell="A74" workbookViewId="0">
      <selection activeCell="A2" sqref="A2:A281"/>
    </sheetView>
  </sheetViews>
  <sheetFormatPr defaultColWidth="16" defaultRowHeight="15" x14ac:dyDescent="0.25"/>
  <cols>
    <col min="1" max="1" width="59" customWidth="1"/>
    <col min="2" max="2" width="14.42578125" customWidth="1"/>
    <col min="3" max="3" width="19" customWidth="1"/>
    <col min="5" max="5" width="25.42578125" customWidth="1"/>
  </cols>
  <sheetData>
    <row r="1" spans="1:1" x14ac:dyDescent="0.25">
      <c r="A1" t="s">
        <v>331</v>
      </c>
    </row>
    <row r="2" spans="1:1" x14ac:dyDescent="0.25">
      <c r="A2" t="s">
        <v>145</v>
      </c>
    </row>
    <row r="3" spans="1:1" x14ac:dyDescent="0.25">
      <c r="A3" t="s">
        <v>146</v>
      </c>
    </row>
    <row r="4" spans="1:1" x14ac:dyDescent="0.25">
      <c r="A4" t="s">
        <v>147</v>
      </c>
    </row>
    <row r="5" spans="1:1" x14ac:dyDescent="0.25">
      <c r="A5" t="s">
        <v>148</v>
      </c>
    </row>
    <row r="6" spans="1:1" hidden="1" x14ac:dyDescent="0.25">
      <c r="A6" t="s">
        <v>149</v>
      </c>
    </row>
    <row r="7" spans="1:1" hidden="1" x14ac:dyDescent="0.25">
      <c r="A7" t="s">
        <v>150</v>
      </c>
    </row>
    <row r="8" spans="1:1" hidden="1" x14ac:dyDescent="0.25">
      <c r="A8" t="s">
        <v>151</v>
      </c>
    </row>
    <row r="9" spans="1:1" hidden="1" x14ac:dyDescent="0.25">
      <c r="A9" t="s">
        <v>418</v>
      </c>
    </row>
    <row r="10" spans="1:1" hidden="1" x14ac:dyDescent="0.25">
      <c r="A10" t="s">
        <v>152</v>
      </c>
    </row>
    <row r="11" spans="1:1" hidden="1" x14ac:dyDescent="0.25">
      <c r="A11" t="s">
        <v>153</v>
      </c>
    </row>
    <row r="12" spans="1:1" hidden="1" x14ac:dyDescent="0.25">
      <c r="A12" t="s">
        <v>154</v>
      </c>
    </row>
    <row r="13" spans="1:1" hidden="1" x14ac:dyDescent="0.25">
      <c r="A13" t="s">
        <v>155</v>
      </c>
    </row>
    <row r="14" spans="1:1" hidden="1" x14ac:dyDescent="0.25">
      <c r="A14" t="s">
        <v>156</v>
      </c>
    </row>
    <row r="15" spans="1:1" hidden="1" x14ac:dyDescent="0.25">
      <c r="A15" t="s">
        <v>157</v>
      </c>
    </row>
    <row r="16" spans="1:1" hidden="1" x14ac:dyDescent="0.25">
      <c r="A16" t="s">
        <v>158</v>
      </c>
    </row>
    <row r="17" spans="1:1" hidden="1" x14ac:dyDescent="0.25">
      <c r="A17" t="s">
        <v>159</v>
      </c>
    </row>
    <row r="18" spans="1:1" hidden="1" x14ac:dyDescent="0.25">
      <c r="A18" t="s">
        <v>160</v>
      </c>
    </row>
    <row r="19" spans="1:1" hidden="1" x14ac:dyDescent="0.25">
      <c r="A19" t="s">
        <v>161</v>
      </c>
    </row>
    <row r="20" spans="1:1" hidden="1" x14ac:dyDescent="0.25">
      <c r="A20" t="s">
        <v>162</v>
      </c>
    </row>
    <row r="21" spans="1:1" x14ac:dyDescent="0.25">
      <c r="A21" t="s">
        <v>163</v>
      </c>
    </row>
    <row r="22" spans="1:1" x14ac:dyDescent="0.25">
      <c r="A22" t="s">
        <v>164</v>
      </c>
    </row>
    <row r="23" spans="1:1" x14ac:dyDescent="0.25">
      <c r="A23" t="s">
        <v>165</v>
      </c>
    </row>
    <row r="24" spans="1:1" x14ac:dyDescent="0.25">
      <c r="A24" t="s">
        <v>166</v>
      </c>
    </row>
    <row r="25" spans="1:1" hidden="1" x14ac:dyDescent="0.25">
      <c r="A25" t="s">
        <v>167</v>
      </c>
    </row>
    <row r="26" spans="1:1" hidden="1" x14ac:dyDescent="0.25">
      <c r="A26" t="s">
        <v>168</v>
      </c>
    </row>
    <row r="27" spans="1:1" hidden="1" x14ac:dyDescent="0.25">
      <c r="A27" t="s">
        <v>169</v>
      </c>
    </row>
    <row r="28" spans="1:1" hidden="1" x14ac:dyDescent="0.25">
      <c r="A28" t="s">
        <v>419</v>
      </c>
    </row>
    <row r="29" spans="1:1" hidden="1" x14ac:dyDescent="0.25">
      <c r="A29" t="s">
        <v>170</v>
      </c>
    </row>
    <row r="30" spans="1:1" hidden="1" x14ac:dyDescent="0.25">
      <c r="A30" t="s">
        <v>171</v>
      </c>
    </row>
    <row r="31" spans="1:1" hidden="1" x14ac:dyDescent="0.25">
      <c r="A31" t="s">
        <v>172</v>
      </c>
    </row>
    <row r="32" spans="1:1" hidden="1" x14ac:dyDescent="0.25">
      <c r="A32" t="s">
        <v>173</v>
      </c>
    </row>
    <row r="33" spans="1:1" hidden="1" x14ac:dyDescent="0.25">
      <c r="A33" t="s">
        <v>174</v>
      </c>
    </row>
    <row r="34" spans="1:1" hidden="1" x14ac:dyDescent="0.25">
      <c r="A34" t="s">
        <v>175</v>
      </c>
    </row>
    <row r="35" spans="1:1" hidden="1" x14ac:dyDescent="0.25">
      <c r="A35" t="s">
        <v>176</v>
      </c>
    </row>
    <row r="36" spans="1:1" hidden="1" x14ac:dyDescent="0.25">
      <c r="A36" t="s">
        <v>177</v>
      </c>
    </row>
    <row r="37" spans="1:1" hidden="1" x14ac:dyDescent="0.25">
      <c r="A37" t="s">
        <v>178</v>
      </c>
    </row>
    <row r="38" spans="1:1" hidden="1" x14ac:dyDescent="0.25">
      <c r="A38" t="s">
        <v>179</v>
      </c>
    </row>
    <row r="39" spans="1:1" hidden="1" x14ac:dyDescent="0.25">
      <c r="A39" t="s">
        <v>180</v>
      </c>
    </row>
    <row r="40" spans="1:1" hidden="1" x14ac:dyDescent="0.25">
      <c r="A40" t="s">
        <v>181</v>
      </c>
    </row>
    <row r="41" spans="1:1" hidden="1" x14ac:dyDescent="0.25">
      <c r="A41" t="s">
        <v>182</v>
      </c>
    </row>
    <row r="42" spans="1:1" hidden="1" x14ac:dyDescent="0.25">
      <c r="A42" t="s">
        <v>183</v>
      </c>
    </row>
    <row r="43" spans="1:1" hidden="1" x14ac:dyDescent="0.25">
      <c r="A43" t="s">
        <v>184</v>
      </c>
    </row>
    <row r="44" spans="1:1" hidden="1" x14ac:dyDescent="0.25">
      <c r="A44" t="s">
        <v>185</v>
      </c>
    </row>
    <row r="45" spans="1:1" hidden="1" x14ac:dyDescent="0.25">
      <c r="A45" t="s">
        <v>186</v>
      </c>
    </row>
    <row r="46" spans="1:1" hidden="1" x14ac:dyDescent="0.25">
      <c r="A46" t="s">
        <v>187</v>
      </c>
    </row>
    <row r="47" spans="1:1" hidden="1" x14ac:dyDescent="0.25">
      <c r="A47" t="s">
        <v>188</v>
      </c>
    </row>
    <row r="48" spans="1:1" hidden="1" x14ac:dyDescent="0.25">
      <c r="A48" t="s">
        <v>189</v>
      </c>
    </row>
    <row r="49" spans="1:1" hidden="1" x14ac:dyDescent="0.25">
      <c r="A49" t="s">
        <v>190</v>
      </c>
    </row>
    <row r="50" spans="1:1" hidden="1" x14ac:dyDescent="0.25">
      <c r="A50" t="s">
        <v>191</v>
      </c>
    </row>
    <row r="51" spans="1:1" hidden="1" x14ac:dyDescent="0.25">
      <c r="A51" t="s">
        <v>192</v>
      </c>
    </row>
    <row r="52" spans="1:1" hidden="1" x14ac:dyDescent="0.25">
      <c r="A52" t="s">
        <v>193</v>
      </c>
    </row>
    <row r="53" spans="1:1" hidden="1" x14ac:dyDescent="0.25">
      <c r="A53" t="s">
        <v>194</v>
      </c>
    </row>
    <row r="54" spans="1:1" hidden="1" x14ac:dyDescent="0.25">
      <c r="A54" t="s">
        <v>195</v>
      </c>
    </row>
    <row r="55" spans="1:1" hidden="1" x14ac:dyDescent="0.25">
      <c r="A55" t="s">
        <v>196</v>
      </c>
    </row>
    <row r="56" spans="1:1" hidden="1" x14ac:dyDescent="0.25">
      <c r="A56" t="s">
        <v>197</v>
      </c>
    </row>
    <row r="57" spans="1:1" hidden="1" x14ac:dyDescent="0.25">
      <c r="A57" t="s">
        <v>198</v>
      </c>
    </row>
    <row r="58" spans="1:1" hidden="1" x14ac:dyDescent="0.25">
      <c r="A58" t="s">
        <v>199</v>
      </c>
    </row>
    <row r="59" spans="1:1" hidden="1" x14ac:dyDescent="0.25">
      <c r="A59" t="s">
        <v>200</v>
      </c>
    </row>
    <row r="60" spans="1:1" hidden="1" x14ac:dyDescent="0.25">
      <c r="A60" t="s">
        <v>335</v>
      </c>
    </row>
    <row r="61" spans="1:1" hidden="1" x14ac:dyDescent="0.25">
      <c r="A61" t="s">
        <v>336</v>
      </c>
    </row>
    <row r="62" spans="1:1" hidden="1" x14ac:dyDescent="0.25">
      <c r="A62" t="s">
        <v>337</v>
      </c>
    </row>
    <row r="63" spans="1:1" hidden="1" x14ac:dyDescent="0.25">
      <c r="A63" t="s">
        <v>201</v>
      </c>
    </row>
    <row r="64" spans="1:1" hidden="1" x14ac:dyDescent="0.25">
      <c r="A64" t="s">
        <v>202</v>
      </c>
    </row>
    <row r="65" spans="1:1" hidden="1" x14ac:dyDescent="0.25">
      <c r="A65" t="s">
        <v>203</v>
      </c>
    </row>
    <row r="66" spans="1:1" hidden="1" x14ac:dyDescent="0.25">
      <c r="A66" t="s">
        <v>204</v>
      </c>
    </row>
    <row r="67" spans="1:1" hidden="1" x14ac:dyDescent="0.25">
      <c r="A67" t="s">
        <v>205</v>
      </c>
    </row>
    <row r="68" spans="1:1" hidden="1" x14ac:dyDescent="0.25">
      <c r="A68" t="s">
        <v>206</v>
      </c>
    </row>
    <row r="69" spans="1:1" hidden="1" x14ac:dyDescent="0.25">
      <c r="A69" t="s">
        <v>340</v>
      </c>
    </row>
    <row r="70" spans="1:1" hidden="1" x14ac:dyDescent="0.25">
      <c r="A70" t="s">
        <v>342</v>
      </c>
    </row>
    <row r="71" spans="1:1" hidden="1" x14ac:dyDescent="0.25">
      <c r="A71" t="s">
        <v>344</v>
      </c>
    </row>
    <row r="72" spans="1:1" hidden="1" x14ac:dyDescent="0.25">
      <c r="A72" t="s">
        <v>346</v>
      </c>
    </row>
    <row r="73" spans="1:1" hidden="1" x14ac:dyDescent="0.25">
      <c r="A73" t="s">
        <v>348</v>
      </c>
    </row>
    <row r="74" spans="1:1" x14ac:dyDescent="0.25">
      <c r="A74" t="s">
        <v>207</v>
      </c>
    </row>
    <row r="75" spans="1:1" x14ac:dyDescent="0.25">
      <c r="A75" t="s">
        <v>208</v>
      </c>
    </row>
    <row r="76" spans="1:1" x14ac:dyDescent="0.25">
      <c r="A76" t="s">
        <v>209</v>
      </c>
    </row>
    <row r="77" spans="1:1" x14ac:dyDescent="0.25">
      <c r="A77" t="s">
        <v>210</v>
      </c>
    </row>
    <row r="78" spans="1:1" hidden="1" x14ac:dyDescent="0.25">
      <c r="A78" t="s">
        <v>211</v>
      </c>
    </row>
    <row r="79" spans="1:1" hidden="1" x14ac:dyDescent="0.25">
      <c r="A79" t="s">
        <v>212</v>
      </c>
    </row>
    <row r="80" spans="1:1" hidden="1" x14ac:dyDescent="0.25">
      <c r="A80" t="s">
        <v>213</v>
      </c>
    </row>
    <row r="81" spans="1:1" hidden="1" x14ac:dyDescent="0.25">
      <c r="A81" t="s">
        <v>420</v>
      </c>
    </row>
    <row r="82" spans="1:1" hidden="1" x14ac:dyDescent="0.25">
      <c r="A82" t="s">
        <v>214</v>
      </c>
    </row>
    <row r="83" spans="1:1" hidden="1" x14ac:dyDescent="0.25">
      <c r="A83" t="s">
        <v>215</v>
      </c>
    </row>
    <row r="84" spans="1:1" hidden="1" x14ac:dyDescent="0.25">
      <c r="A84" t="s">
        <v>216</v>
      </c>
    </row>
    <row r="85" spans="1:1" hidden="1" x14ac:dyDescent="0.25">
      <c r="A85" t="s">
        <v>217</v>
      </c>
    </row>
    <row r="86" spans="1:1" hidden="1" x14ac:dyDescent="0.25">
      <c r="A86" t="s">
        <v>218</v>
      </c>
    </row>
    <row r="87" spans="1:1" hidden="1" x14ac:dyDescent="0.25">
      <c r="A87" t="s">
        <v>219</v>
      </c>
    </row>
    <row r="88" spans="1:1" hidden="1" x14ac:dyDescent="0.25">
      <c r="A88" t="s">
        <v>220</v>
      </c>
    </row>
    <row r="89" spans="1:1" hidden="1" x14ac:dyDescent="0.25">
      <c r="A89" t="s">
        <v>221</v>
      </c>
    </row>
    <row r="90" spans="1:1" hidden="1" x14ac:dyDescent="0.25">
      <c r="A90" t="s">
        <v>222</v>
      </c>
    </row>
    <row r="91" spans="1:1" hidden="1" x14ac:dyDescent="0.25">
      <c r="A91" t="s">
        <v>223</v>
      </c>
    </row>
    <row r="92" spans="1:1" hidden="1" x14ac:dyDescent="0.25">
      <c r="A92" t="s">
        <v>224</v>
      </c>
    </row>
    <row r="93" spans="1:1" x14ac:dyDescent="0.25">
      <c r="A93" t="s">
        <v>225</v>
      </c>
    </row>
    <row r="94" spans="1:1" x14ac:dyDescent="0.25">
      <c r="A94" t="s">
        <v>226</v>
      </c>
    </row>
    <row r="95" spans="1:1" x14ac:dyDescent="0.25">
      <c r="A95" t="s">
        <v>227</v>
      </c>
    </row>
    <row r="96" spans="1:1" x14ac:dyDescent="0.25">
      <c r="A96" t="s">
        <v>228</v>
      </c>
    </row>
    <row r="97" spans="1:1" hidden="1" x14ac:dyDescent="0.25">
      <c r="A97" t="s">
        <v>229</v>
      </c>
    </row>
    <row r="98" spans="1:1" hidden="1" x14ac:dyDescent="0.25">
      <c r="A98" t="s">
        <v>230</v>
      </c>
    </row>
    <row r="99" spans="1:1" hidden="1" x14ac:dyDescent="0.25">
      <c r="A99" t="s">
        <v>231</v>
      </c>
    </row>
    <row r="100" spans="1:1" hidden="1" x14ac:dyDescent="0.25">
      <c r="A100" t="s">
        <v>421</v>
      </c>
    </row>
    <row r="101" spans="1:1" hidden="1" x14ac:dyDescent="0.25">
      <c r="A101" t="s">
        <v>232</v>
      </c>
    </row>
    <row r="102" spans="1:1" hidden="1" x14ac:dyDescent="0.25">
      <c r="A102" t="s">
        <v>233</v>
      </c>
    </row>
    <row r="103" spans="1:1" hidden="1" x14ac:dyDescent="0.25">
      <c r="A103" t="s">
        <v>234</v>
      </c>
    </row>
    <row r="104" spans="1:1" hidden="1" x14ac:dyDescent="0.25">
      <c r="A104" t="s">
        <v>235</v>
      </c>
    </row>
    <row r="105" spans="1:1" hidden="1" x14ac:dyDescent="0.25">
      <c r="A105" t="s">
        <v>236</v>
      </c>
    </row>
    <row r="106" spans="1:1" hidden="1" x14ac:dyDescent="0.25">
      <c r="A106" t="s">
        <v>237</v>
      </c>
    </row>
    <row r="107" spans="1:1" hidden="1" x14ac:dyDescent="0.25">
      <c r="A107" t="s">
        <v>238</v>
      </c>
    </row>
    <row r="108" spans="1:1" hidden="1" x14ac:dyDescent="0.25">
      <c r="A108" t="s">
        <v>239</v>
      </c>
    </row>
    <row r="109" spans="1:1" hidden="1" x14ac:dyDescent="0.25">
      <c r="A109" t="s">
        <v>240</v>
      </c>
    </row>
    <row r="110" spans="1:1" hidden="1" x14ac:dyDescent="0.25">
      <c r="A110" t="s">
        <v>241</v>
      </c>
    </row>
    <row r="111" spans="1:1" hidden="1" x14ac:dyDescent="0.25">
      <c r="A111" t="s">
        <v>242</v>
      </c>
    </row>
    <row r="112" spans="1:1" hidden="1" x14ac:dyDescent="0.25">
      <c r="A112" t="s">
        <v>243</v>
      </c>
    </row>
    <row r="113" spans="1:1" hidden="1" x14ac:dyDescent="0.25">
      <c r="A113" t="s">
        <v>244</v>
      </c>
    </row>
    <row r="114" spans="1:1" hidden="1" x14ac:dyDescent="0.25">
      <c r="A114" t="s">
        <v>245</v>
      </c>
    </row>
    <row r="115" spans="1:1" hidden="1" x14ac:dyDescent="0.25">
      <c r="A115" t="s">
        <v>246</v>
      </c>
    </row>
    <row r="116" spans="1:1" hidden="1" x14ac:dyDescent="0.25">
      <c r="A116" t="s">
        <v>247</v>
      </c>
    </row>
    <row r="117" spans="1:1" hidden="1" x14ac:dyDescent="0.25">
      <c r="A117" t="s">
        <v>248</v>
      </c>
    </row>
    <row r="118" spans="1:1" hidden="1" x14ac:dyDescent="0.25">
      <c r="A118" t="s">
        <v>249</v>
      </c>
    </row>
    <row r="119" spans="1:1" hidden="1" x14ac:dyDescent="0.25">
      <c r="A119" t="s">
        <v>250</v>
      </c>
    </row>
    <row r="120" spans="1:1" hidden="1" x14ac:dyDescent="0.25">
      <c r="A120" t="s">
        <v>251</v>
      </c>
    </row>
    <row r="121" spans="1:1" hidden="1" x14ac:dyDescent="0.25">
      <c r="A121" t="s">
        <v>252</v>
      </c>
    </row>
    <row r="122" spans="1:1" hidden="1" x14ac:dyDescent="0.25">
      <c r="A122" t="s">
        <v>253</v>
      </c>
    </row>
    <row r="123" spans="1:1" hidden="1" x14ac:dyDescent="0.25">
      <c r="A123" t="s">
        <v>254</v>
      </c>
    </row>
    <row r="124" spans="1:1" hidden="1" x14ac:dyDescent="0.25">
      <c r="A124" t="s">
        <v>255</v>
      </c>
    </row>
    <row r="125" spans="1:1" hidden="1" x14ac:dyDescent="0.25">
      <c r="A125" t="s">
        <v>256</v>
      </c>
    </row>
    <row r="126" spans="1:1" hidden="1" x14ac:dyDescent="0.25">
      <c r="A126" t="s">
        <v>257</v>
      </c>
    </row>
    <row r="127" spans="1:1" hidden="1" x14ac:dyDescent="0.25">
      <c r="A127" t="s">
        <v>258</v>
      </c>
    </row>
    <row r="128" spans="1:1" hidden="1" x14ac:dyDescent="0.25">
      <c r="A128" t="s">
        <v>259</v>
      </c>
    </row>
    <row r="129" spans="1:1" hidden="1" x14ac:dyDescent="0.25">
      <c r="A129" t="s">
        <v>260</v>
      </c>
    </row>
    <row r="130" spans="1:1" hidden="1" x14ac:dyDescent="0.25">
      <c r="A130" t="s">
        <v>261</v>
      </c>
    </row>
    <row r="131" spans="1:1" hidden="1" x14ac:dyDescent="0.25">
      <c r="A131" t="s">
        <v>262</v>
      </c>
    </row>
    <row r="132" spans="1:1" hidden="1" x14ac:dyDescent="0.25">
      <c r="A132" t="s">
        <v>349</v>
      </c>
    </row>
    <row r="133" spans="1:1" hidden="1" x14ac:dyDescent="0.25">
      <c r="A133" t="s">
        <v>350</v>
      </c>
    </row>
    <row r="134" spans="1:1" hidden="1" x14ac:dyDescent="0.25">
      <c r="A134" t="s">
        <v>351</v>
      </c>
    </row>
    <row r="135" spans="1:1" hidden="1" x14ac:dyDescent="0.25">
      <c r="A135" t="s">
        <v>263</v>
      </c>
    </row>
    <row r="136" spans="1:1" hidden="1" x14ac:dyDescent="0.25">
      <c r="A136" t="s">
        <v>264</v>
      </c>
    </row>
    <row r="137" spans="1:1" hidden="1" x14ac:dyDescent="0.25">
      <c r="A137" t="s">
        <v>265</v>
      </c>
    </row>
    <row r="138" spans="1:1" hidden="1" x14ac:dyDescent="0.25">
      <c r="A138" t="s">
        <v>266</v>
      </c>
    </row>
    <row r="139" spans="1:1" hidden="1" x14ac:dyDescent="0.25">
      <c r="A139" t="s">
        <v>267</v>
      </c>
    </row>
    <row r="140" spans="1:1" hidden="1" x14ac:dyDescent="0.25">
      <c r="A140" t="s">
        <v>268</v>
      </c>
    </row>
    <row r="141" spans="1:1" hidden="1" x14ac:dyDescent="0.25">
      <c r="A141" t="s">
        <v>352</v>
      </c>
    </row>
    <row r="142" spans="1:1" hidden="1" x14ac:dyDescent="0.25">
      <c r="A142" t="s">
        <v>353</v>
      </c>
    </row>
    <row r="143" spans="1:1" hidden="1" x14ac:dyDescent="0.25">
      <c r="A143" t="s">
        <v>354</v>
      </c>
    </row>
    <row r="144" spans="1:1" hidden="1" x14ac:dyDescent="0.25">
      <c r="A144" t="s">
        <v>355</v>
      </c>
    </row>
    <row r="145" spans="1:1" hidden="1" x14ac:dyDescent="0.25">
      <c r="A145" t="s">
        <v>356</v>
      </c>
    </row>
    <row r="146" spans="1:1" x14ac:dyDescent="0.25">
      <c r="A146" t="s">
        <v>269</v>
      </c>
    </row>
    <row r="147" spans="1:1" x14ac:dyDescent="0.25">
      <c r="A147" t="s">
        <v>270</v>
      </c>
    </row>
    <row r="148" spans="1:1" x14ac:dyDescent="0.25">
      <c r="A148" t="s">
        <v>271</v>
      </c>
    </row>
    <row r="149" spans="1:1" x14ac:dyDescent="0.25">
      <c r="A149" t="s">
        <v>272</v>
      </c>
    </row>
    <row r="150" spans="1:1" hidden="1" x14ac:dyDescent="0.25">
      <c r="A150" t="s">
        <v>273</v>
      </c>
    </row>
    <row r="151" spans="1:1" hidden="1" x14ac:dyDescent="0.25">
      <c r="A151" t="s">
        <v>274</v>
      </c>
    </row>
    <row r="152" spans="1:1" hidden="1" x14ac:dyDescent="0.25">
      <c r="A152" t="s">
        <v>275</v>
      </c>
    </row>
    <row r="153" spans="1:1" hidden="1" x14ac:dyDescent="0.25">
      <c r="A153" t="s">
        <v>422</v>
      </c>
    </row>
    <row r="154" spans="1:1" hidden="1" x14ac:dyDescent="0.25">
      <c r="A154" t="s">
        <v>276</v>
      </c>
    </row>
    <row r="155" spans="1:1" hidden="1" x14ac:dyDescent="0.25">
      <c r="A155" t="s">
        <v>277</v>
      </c>
    </row>
    <row r="156" spans="1:1" hidden="1" x14ac:dyDescent="0.25">
      <c r="A156" t="s">
        <v>278</v>
      </c>
    </row>
    <row r="157" spans="1:1" hidden="1" x14ac:dyDescent="0.25">
      <c r="A157" t="s">
        <v>279</v>
      </c>
    </row>
    <row r="158" spans="1:1" hidden="1" x14ac:dyDescent="0.25">
      <c r="A158" t="s">
        <v>280</v>
      </c>
    </row>
    <row r="159" spans="1:1" hidden="1" x14ac:dyDescent="0.25">
      <c r="A159" t="s">
        <v>281</v>
      </c>
    </row>
    <row r="160" spans="1:1" hidden="1" x14ac:dyDescent="0.25">
      <c r="A160" t="s">
        <v>282</v>
      </c>
    </row>
    <row r="161" spans="1:1" hidden="1" x14ac:dyDescent="0.25">
      <c r="A161" t="s">
        <v>283</v>
      </c>
    </row>
    <row r="162" spans="1:1" hidden="1" x14ac:dyDescent="0.25">
      <c r="A162" t="s">
        <v>284</v>
      </c>
    </row>
    <row r="163" spans="1:1" hidden="1" x14ac:dyDescent="0.25">
      <c r="A163" t="s">
        <v>285</v>
      </c>
    </row>
    <row r="164" spans="1:1" hidden="1" x14ac:dyDescent="0.25">
      <c r="A164" t="s">
        <v>286</v>
      </c>
    </row>
    <row r="165" spans="1:1" x14ac:dyDescent="0.25">
      <c r="A165" t="s">
        <v>287</v>
      </c>
    </row>
    <row r="166" spans="1:1" x14ac:dyDescent="0.25">
      <c r="A166" t="s">
        <v>288</v>
      </c>
    </row>
    <row r="167" spans="1:1" x14ac:dyDescent="0.25">
      <c r="A167" t="s">
        <v>289</v>
      </c>
    </row>
    <row r="168" spans="1:1" x14ac:dyDescent="0.25">
      <c r="A168" t="s">
        <v>290</v>
      </c>
    </row>
    <row r="169" spans="1:1" hidden="1" x14ac:dyDescent="0.25">
      <c r="A169" t="s">
        <v>291</v>
      </c>
    </row>
    <row r="170" spans="1:1" hidden="1" x14ac:dyDescent="0.25">
      <c r="A170" t="s">
        <v>292</v>
      </c>
    </row>
    <row r="171" spans="1:1" hidden="1" x14ac:dyDescent="0.25">
      <c r="A171" t="s">
        <v>293</v>
      </c>
    </row>
    <row r="172" spans="1:1" hidden="1" x14ac:dyDescent="0.25">
      <c r="A172" t="s">
        <v>423</v>
      </c>
    </row>
    <row r="173" spans="1:1" hidden="1" x14ac:dyDescent="0.25">
      <c r="A173" t="s">
        <v>294</v>
      </c>
    </row>
    <row r="174" spans="1:1" hidden="1" x14ac:dyDescent="0.25">
      <c r="A174" t="s">
        <v>295</v>
      </c>
    </row>
    <row r="175" spans="1:1" hidden="1" x14ac:dyDescent="0.25">
      <c r="A175" t="s">
        <v>296</v>
      </c>
    </row>
    <row r="176" spans="1:1" hidden="1" x14ac:dyDescent="0.25">
      <c r="A176" t="s">
        <v>297</v>
      </c>
    </row>
    <row r="177" spans="1:1" hidden="1" x14ac:dyDescent="0.25">
      <c r="A177" t="s">
        <v>298</v>
      </c>
    </row>
    <row r="178" spans="1:1" hidden="1" x14ac:dyDescent="0.25">
      <c r="A178" t="s">
        <v>299</v>
      </c>
    </row>
    <row r="179" spans="1:1" hidden="1" x14ac:dyDescent="0.25">
      <c r="A179" t="s">
        <v>300</v>
      </c>
    </row>
    <row r="180" spans="1:1" hidden="1" x14ac:dyDescent="0.25">
      <c r="A180" t="s">
        <v>301</v>
      </c>
    </row>
    <row r="181" spans="1:1" hidden="1" x14ac:dyDescent="0.25">
      <c r="A181" t="s">
        <v>302</v>
      </c>
    </row>
    <row r="182" spans="1:1" hidden="1" x14ac:dyDescent="0.25">
      <c r="A182" t="s">
        <v>303</v>
      </c>
    </row>
    <row r="183" spans="1:1" hidden="1" x14ac:dyDescent="0.25">
      <c r="A183" t="s">
        <v>304</v>
      </c>
    </row>
    <row r="184" spans="1:1" hidden="1" x14ac:dyDescent="0.25">
      <c r="A184" t="s">
        <v>305</v>
      </c>
    </row>
    <row r="185" spans="1:1" hidden="1" x14ac:dyDescent="0.25">
      <c r="A185" t="s">
        <v>306</v>
      </c>
    </row>
    <row r="186" spans="1:1" hidden="1" x14ac:dyDescent="0.25">
      <c r="A186" t="s">
        <v>307</v>
      </c>
    </row>
    <row r="187" spans="1:1" hidden="1" x14ac:dyDescent="0.25">
      <c r="A187" t="s">
        <v>308</v>
      </c>
    </row>
    <row r="188" spans="1:1" hidden="1" x14ac:dyDescent="0.25">
      <c r="A188" t="s">
        <v>309</v>
      </c>
    </row>
    <row r="189" spans="1:1" hidden="1" x14ac:dyDescent="0.25">
      <c r="A189" t="s">
        <v>310</v>
      </c>
    </row>
    <row r="190" spans="1:1" hidden="1" x14ac:dyDescent="0.25">
      <c r="A190" t="s">
        <v>311</v>
      </c>
    </row>
    <row r="191" spans="1:1" hidden="1" x14ac:dyDescent="0.25">
      <c r="A191" t="s">
        <v>312</v>
      </c>
    </row>
    <row r="192" spans="1:1" hidden="1" x14ac:dyDescent="0.25">
      <c r="A192" t="s">
        <v>313</v>
      </c>
    </row>
    <row r="193" spans="1:1" hidden="1" x14ac:dyDescent="0.25">
      <c r="A193" t="s">
        <v>314</v>
      </c>
    </row>
    <row r="194" spans="1:1" hidden="1" x14ac:dyDescent="0.25">
      <c r="A194" t="s">
        <v>315</v>
      </c>
    </row>
    <row r="195" spans="1:1" hidden="1" x14ac:dyDescent="0.25">
      <c r="A195" t="s">
        <v>316</v>
      </c>
    </row>
    <row r="196" spans="1:1" hidden="1" x14ac:dyDescent="0.25">
      <c r="A196" t="s">
        <v>317</v>
      </c>
    </row>
    <row r="197" spans="1:1" hidden="1" x14ac:dyDescent="0.25">
      <c r="A197" t="s">
        <v>318</v>
      </c>
    </row>
    <row r="198" spans="1:1" hidden="1" x14ac:dyDescent="0.25">
      <c r="A198" t="s">
        <v>319</v>
      </c>
    </row>
    <row r="199" spans="1:1" hidden="1" x14ac:dyDescent="0.25">
      <c r="A199" t="s">
        <v>320</v>
      </c>
    </row>
    <row r="200" spans="1:1" hidden="1" x14ac:dyDescent="0.25">
      <c r="A200" t="s">
        <v>321</v>
      </c>
    </row>
    <row r="201" spans="1:1" hidden="1" x14ac:dyDescent="0.25">
      <c r="A201" t="s">
        <v>322</v>
      </c>
    </row>
    <row r="202" spans="1:1" hidden="1" x14ac:dyDescent="0.25">
      <c r="A202" t="s">
        <v>323</v>
      </c>
    </row>
    <row r="203" spans="1:1" hidden="1" x14ac:dyDescent="0.25">
      <c r="A203" t="s">
        <v>324</v>
      </c>
    </row>
    <row r="204" spans="1:1" hidden="1" x14ac:dyDescent="0.25">
      <c r="A204" t="s">
        <v>357</v>
      </c>
    </row>
    <row r="205" spans="1:1" hidden="1" x14ac:dyDescent="0.25">
      <c r="A205" t="s">
        <v>358</v>
      </c>
    </row>
    <row r="206" spans="1:1" hidden="1" x14ac:dyDescent="0.25">
      <c r="A206" t="s">
        <v>359</v>
      </c>
    </row>
    <row r="207" spans="1:1" hidden="1" x14ac:dyDescent="0.25">
      <c r="A207" t="s">
        <v>325</v>
      </c>
    </row>
    <row r="208" spans="1:1" hidden="1" x14ac:dyDescent="0.25">
      <c r="A208" t="s">
        <v>326</v>
      </c>
    </row>
    <row r="209" spans="1:1" hidden="1" x14ac:dyDescent="0.25">
      <c r="A209" t="s">
        <v>327</v>
      </c>
    </row>
    <row r="210" spans="1:1" hidden="1" x14ac:dyDescent="0.25">
      <c r="A210" t="s">
        <v>328</v>
      </c>
    </row>
    <row r="211" spans="1:1" hidden="1" x14ac:dyDescent="0.25">
      <c r="A211" t="s">
        <v>329</v>
      </c>
    </row>
    <row r="212" spans="1:1" hidden="1" x14ac:dyDescent="0.25">
      <c r="A212" t="s">
        <v>330</v>
      </c>
    </row>
    <row r="213" spans="1:1" hidden="1" x14ac:dyDescent="0.25">
      <c r="A213" t="s">
        <v>360</v>
      </c>
    </row>
    <row r="214" spans="1:1" hidden="1" x14ac:dyDescent="0.25">
      <c r="A214" t="s">
        <v>361</v>
      </c>
    </row>
    <row r="215" spans="1:1" hidden="1" x14ac:dyDescent="0.25">
      <c r="A215" t="s">
        <v>362</v>
      </c>
    </row>
    <row r="216" spans="1:1" hidden="1" x14ac:dyDescent="0.25">
      <c r="A216" t="s">
        <v>363</v>
      </c>
    </row>
    <row r="217" spans="1:1" hidden="1" x14ac:dyDescent="0.25">
      <c r="A217" t="s">
        <v>364</v>
      </c>
    </row>
    <row r="218" spans="1:1" hidden="1" x14ac:dyDescent="0.25">
      <c r="A218" t="s">
        <v>424</v>
      </c>
    </row>
    <row r="219" spans="1:1" hidden="1" x14ac:dyDescent="0.25">
      <c r="A219" t="s">
        <v>376</v>
      </c>
    </row>
    <row r="220" spans="1:1" hidden="1" x14ac:dyDescent="0.25">
      <c r="A220" t="s">
        <v>377</v>
      </c>
    </row>
    <row r="221" spans="1:1" hidden="1" x14ac:dyDescent="0.25">
      <c r="A221" t="s">
        <v>378</v>
      </c>
    </row>
    <row r="222" spans="1:1" hidden="1" x14ac:dyDescent="0.25">
      <c r="A222" t="s">
        <v>379</v>
      </c>
    </row>
    <row r="223" spans="1:1" hidden="1" x14ac:dyDescent="0.25">
      <c r="A223" t="s">
        <v>380</v>
      </c>
    </row>
    <row r="224" spans="1:1" hidden="1" x14ac:dyDescent="0.25">
      <c r="A224" t="s">
        <v>381</v>
      </c>
    </row>
    <row r="225" spans="1:1" hidden="1" x14ac:dyDescent="0.25">
      <c r="A225" t="s">
        <v>382</v>
      </c>
    </row>
    <row r="226" spans="1:1" hidden="1" x14ac:dyDescent="0.25">
      <c r="A226" t="s">
        <v>383</v>
      </c>
    </row>
    <row r="227" spans="1:1" hidden="1" x14ac:dyDescent="0.25">
      <c r="A227" t="s">
        <v>384</v>
      </c>
    </row>
    <row r="228" spans="1:1" hidden="1" x14ac:dyDescent="0.25">
      <c r="A228" t="s">
        <v>385</v>
      </c>
    </row>
    <row r="229" spans="1:1" hidden="1" x14ac:dyDescent="0.25">
      <c r="A229" t="s">
        <v>386</v>
      </c>
    </row>
    <row r="230" spans="1:1" x14ac:dyDescent="0.25">
      <c r="A230" t="s">
        <v>404</v>
      </c>
    </row>
    <row r="231" spans="1:1" x14ac:dyDescent="0.25">
      <c r="A231" t="s">
        <v>405</v>
      </c>
    </row>
    <row r="232" spans="1:1" x14ac:dyDescent="0.25">
      <c r="A232" t="s">
        <v>406</v>
      </c>
    </row>
    <row r="233" spans="1:1" x14ac:dyDescent="0.25">
      <c r="A233" t="s">
        <v>407</v>
      </c>
    </row>
    <row r="234" spans="1:1" hidden="1" x14ac:dyDescent="0.25">
      <c r="A234" t="s">
        <v>408</v>
      </c>
    </row>
    <row r="235" spans="1:1" hidden="1" x14ac:dyDescent="0.25">
      <c r="A235" t="s">
        <v>425</v>
      </c>
    </row>
    <row r="236" spans="1:1" hidden="1" x14ac:dyDescent="0.25">
      <c r="A236" t="s">
        <v>388</v>
      </c>
    </row>
    <row r="237" spans="1:1" hidden="1" x14ac:dyDescent="0.25">
      <c r="A237" t="s">
        <v>389</v>
      </c>
    </row>
    <row r="238" spans="1:1" hidden="1" x14ac:dyDescent="0.25">
      <c r="A238" t="s">
        <v>390</v>
      </c>
    </row>
    <row r="239" spans="1:1" hidden="1" x14ac:dyDescent="0.25">
      <c r="A239" t="s">
        <v>391</v>
      </c>
    </row>
    <row r="240" spans="1:1" hidden="1" x14ac:dyDescent="0.25">
      <c r="A240" t="s">
        <v>392</v>
      </c>
    </row>
    <row r="241" spans="1:1" hidden="1" x14ac:dyDescent="0.25">
      <c r="A241" t="s">
        <v>393</v>
      </c>
    </row>
    <row r="242" spans="1:1" hidden="1" x14ac:dyDescent="0.25">
      <c r="A242" t="s">
        <v>394</v>
      </c>
    </row>
    <row r="243" spans="1:1" hidden="1" x14ac:dyDescent="0.25">
      <c r="A243" t="s">
        <v>395</v>
      </c>
    </row>
    <row r="244" spans="1:1" hidden="1" x14ac:dyDescent="0.25">
      <c r="A244" t="s">
        <v>396</v>
      </c>
    </row>
    <row r="245" spans="1:1" hidden="1" x14ac:dyDescent="0.25">
      <c r="A245" t="s">
        <v>397</v>
      </c>
    </row>
    <row r="246" spans="1:1" hidden="1" x14ac:dyDescent="0.25">
      <c r="A246" t="s">
        <v>398</v>
      </c>
    </row>
    <row r="247" spans="1:1" x14ac:dyDescent="0.25">
      <c r="A247" t="s">
        <v>409</v>
      </c>
    </row>
    <row r="248" spans="1:1" x14ac:dyDescent="0.25">
      <c r="A248" t="s">
        <v>410</v>
      </c>
    </row>
    <row r="249" spans="1:1" x14ac:dyDescent="0.25">
      <c r="A249" t="s">
        <v>411</v>
      </c>
    </row>
    <row r="250" spans="1:1" x14ac:dyDescent="0.25">
      <c r="A250" t="s">
        <v>412</v>
      </c>
    </row>
    <row r="251" spans="1:1" hidden="1" x14ac:dyDescent="0.25">
      <c r="A251" t="s">
        <v>413</v>
      </c>
    </row>
    <row r="252" spans="1:1" hidden="1" x14ac:dyDescent="0.25">
      <c r="A252" t="s">
        <v>399</v>
      </c>
    </row>
    <row r="253" spans="1:1" hidden="1" x14ac:dyDescent="0.25">
      <c r="A253" t="s">
        <v>507</v>
      </c>
    </row>
    <row r="254" spans="1:1" hidden="1" x14ac:dyDescent="0.25">
      <c r="A254" t="s">
        <v>400</v>
      </c>
    </row>
    <row r="255" spans="1:1" hidden="1" x14ac:dyDescent="0.25">
      <c r="A255" t="s">
        <v>508</v>
      </c>
    </row>
    <row r="256" spans="1:1" hidden="1" x14ac:dyDescent="0.25">
      <c r="A256" t="s">
        <v>401</v>
      </c>
    </row>
    <row r="257" spans="1:1" hidden="1" x14ac:dyDescent="0.25">
      <c r="A257" t="s">
        <v>402</v>
      </c>
    </row>
    <row r="258" spans="1:1" hidden="1" x14ac:dyDescent="0.25">
      <c r="A258" t="s">
        <v>403</v>
      </c>
    </row>
    <row r="259" spans="1:1" x14ac:dyDescent="0.25">
      <c r="A259" t="s">
        <v>427</v>
      </c>
    </row>
    <row r="260" spans="1:1" x14ac:dyDescent="0.25">
      <c r="A260" t="s">
        <v>428</v>
      </c>
    </row>
    <row r="261" spans="1:1" x14ac:dyDescent="0.25">
      <c r="A261" t="s">
        <v>429</v>
      </c>
    </row>
    <row r="262" spans="1:1" x14ac:dyDescent="0.25">
      <c r="A262" t="s">
        <v>430</v>
      </c>
    </row>
    <row r="263" spans="1:1" hidden="1" x14ac:dyDescent="0.25">
      <c r="A263" t="s">
        <v>431</v>
      </c>
    </row>
    <row r="264" spans="1:1" hidden="1" x14ac:dyDescent="0.25">
      <c r="A264" t="s">
        <v>432</v>
      </c>
    </row>
    <row r="265" spans="1:1" hidden="1" x14ac:dyDescent="0.25">
      <c r="A265" t="s">
        <v>433</v>
      </c>
    </row>
    <row r="266" spans="1:1" hidden="1" x14ac:dyDescent="0.25">
      <c r="A266" t="s">
        <v>434</v>
      </c>
    </row>
    <row r="267" spans="1:1" hidden="1" x14ac:dyDescent="0.25">
      <c r="A267" t="s">
        <v>435</v>
      </c>
    </row>
    <row r="268" spans="1:1" hidden="1" x14ac:dyDescent="0.25">
      <c r="A268" t="s">
        <v>436</v>
      </c>
    </row>
    <row r="269" spans="1:1" hidden="1" x14ac:dyDescent="0.25">
      <c r="A269" t="s">
        <v>437</v>
      </c>
    </row>
    <row r="270" spans="1:1" hidden="1" x14ac:dyDescent="0.25">
      <c r="A270" t="s">
        <v>438</v>
      </c>
    </row>
    <row r="271" spans="1:1" hidden="1" x14ac:dyDescent="0.25">
      <c r="A271" t="s">
        <v>439</v>
      </c>
    </row>
    <row r="272" spans="1:1" hidden="1" x14ac:dyDescent="0.25">
      <c r="A272" t="s">
        <v>440</v>
      </c>
    </row>
    <row r="273" spans="1:1" hidden="1" x14ac:dyDescent="0.25">
      <c r="A273" t="s">
        <v>441</v>
      </c>
    </row>
    <row r="274" spans="1:1" hidden="1" x14ac:dyDescent="0.25">
      <c r="A274" t="s">
        <v>442</v>
      </c>
    </row>
    <row r="275" spans="1:1" hidden="1" x14ac:dyDescent="0.25">
      <c r="A275" t="s">
        <v>443</v>
      </c>
    </row>
    <row r="276" spans="1:1" hidden="1" x14ac:dyDescent="0.25">
      <c r="A276" t="s">
        <v>444</v>
      </c>
    </row>
    <row r="277" spans="1:1" hidden="1" x14ac:dyDescent="0.25">
      <c r="A277" t="s">
        <v>445</v>
      </c>
    </row>
    <row r="278" spans="1:1" x14ac:dyDescent="0.25">
      <c r="A278" t="s">
        <v>446</v>
      </c>
    </row>
    <row r="279" spans="1:1" x14ac:dyDescent="0.25">
      <c r="A279" t="s">
        <v>447</v>
      </c>
    </row>
    <row r="280" spans="1:1" x14ac:dyDescent="0.25">
      <c r="A280" t="s">
        <v>448</v>
      </c>
    </row>
    <row r="281" spans="1:1" x14ac:dyDescent="0.25">
      <c r="A281" t="s">
        <v>449</v>
      </c>
    </row>
    <row r="282" spans="1:1" hidden="1" x14ac:dyDescent="0.25">
      <c r="A282" t="s">
        <v>450</v>
      </c>
    </row>
    <row r="283" spans="1:1" hidden="1" x14ac:dyDescent="0.25">
      <c r="A283" t="s">
        <v>451</v>
      </c>
    </row>
    <row r="284" spans="1:1" hidden="1" x14ac:dyDescent="0.25">
      <c r="A284" t="s">
        <v>452</v>
      </c>
    </row>
    <row r="285" spans="1:1" hidden="1" x14ac:dyDescent="0.25">
      <c r="A285" t="s">
        <v>453</v>
      </c>
    </row>
    <row r="286" spans="1:1" hidden="1" x14ac:dyDescent="0.25">
      <c r="A286" t="s">
        <v>454</v>
      </c>
    </row>
    <row r="287" spans="1:1" hidden="1" x14ac:dyDescent="0.25">
      <c r="A287" t="s">
        <v>455</v>
      </c>
    </row>
    <row r="288" spans="1:1" hidden="1" x14ac:dyDescent="0.25">
      <c r="A288" t="s">
        <v>456</v>
      </c>
    </row>
    <row r="289" spans="1:1" hidden="1" x14ac:dyDescent="0.25">
      <c r="A289" t="s">
        <v>457</v>
      </c>
    </row>
    <row r="290" spans="1:1" hidden="1" x14ac:dyDescent="0.25">
      <c r="A290" t="s">
        <v>458</v>
      </c>
    </row>
    <row r="291" spans="1:1" hidden="1" x14ac:dyDescent="0.25">
      <c r="A291" t="s">
        <v>459</v>
      </c>
    </row>
    <row r="292" spans="1:1" hidden="1" x14ac:dyDescent="0.25">
      <c r="A292" t="s">
        <v>460</v>
      </c>
    </row>
    <row r="293" spans="1:1" hidden="1" x14ac:dyDescent="0.25">
      <c r="A293" t="s">
        <v>461</v>
      </c>
    </row>
    <row r="294" spans="1:1" hidden="1" x14ac:dyDescent="0.25">
      <c r="A294" t="s">
        <v>462</v>
      </c>
    </row>
    <row r="295" spans="1:1" hidden="1" x14ac:dyDescent="0.25">
      <c r="A295" t="s">
        <v>463</v>
      </c>
    </row>
    <row r="296" spans="1:1" hidden="1" x14ac:dyDescent="0.25">
      <c r="A296" t="s">
        <v>464</v>
      </c>
    </row>
    <row r="297" spans="1:1" hidden="1" x14ac:dyDescent="0.25">
      <c r="A297" t="s">
        <v>465</v>
      </c>
    </row>
    <row r="298" spans="1:1" hidden="1" x14ac:dyDescent="0.25">
      <c r="A298" t="s">
        <v>466</v>
      </c>
    </row>
    <row r="299" spans="1:1" hidden="1" x14ac:dyDescent="0.25">
      <c r="A299" t="s">
        <v>467</v>
      </c>
    </row>
    <row r="300" spans="1:1" hidden="1" x14ac:dyDescent="0.25">
      <c r="A300" t="s">
        <v>468</v>
      </c>
    </row>
    <row r="301" spans="1:1" hidden="1" x14ac:dyDescent="0.25">
      <c r="A301" t="s">
        <v>469</v>
      </c>
    </row>
    <row r="302" spans="1:1" hidden="1" x14ac:dyDescent="0.25">
      <c r="A302" t="s">
        <v>470</v>
      </c>
    </row>
    <row r="303" spans="1:1" hidden="1" x14ac:dyDescent="0.25">
      <c r="A303" t="s">
        <v>471</v>
      </c>
    </row>
    <row r="304" spans="1:1" hidden="1" x14ac:dyDescent="0.25">
      <c r="A304" t="s">
        <v>472</v>
      </c>
    </row>
    <row r="305" spans="1:1" hidden="1" x14ac:dyDescent="0.25">
      <c r="A305" t="s">
        <v>473</v>
      </c>
    </row>
    <row r="306" spans="1:1" hidden="1" x14ac:dyDescent="0.25">
      <c r="A306" t="s">
        <v>474</v>
      </c>
    </row>
    <row r="307" spans="1:1" hidden="1" x14ac:dyDescent="0.25">
      <c r="A307" t="s">
        <v>475</v>
      </c>
    </row>
    <row r="308" spans="1:1" hidden="1" x14ac:dyDescent="0.25">
      <c r="A308" t="s">
        <v>476</v>
      </c>
    </row>
    <row r="309" spans="1:1" hidden="1" x14ac:dyDescent="0.25">
      <c r="A309" t="s">
        <v>477</v>
      </c>
    </row>
    <row r="310" spans="1:1" hidden="1" x14ac:dyDescent="0.25">
      <c r="A310" t="s">
        <v>478</v>
      </c>
    </row>
    <row r="311" spans="1:1" hidden="1" x14ac:dyDescent="0.25">
      <c r="A311" t="s">
        <v>479</v>
      </c>
    </row>
    <row r="312" spans="1:1" hidden="1" x14ac:dyDescent="0.25">
      <c r="A312" t="s">
        <v>480</v>
      </c>
    </row>
    <row r="313" spans="1:1" hidden="1" x14ac:dyDescent="0.25">
      <c r="A313" t="s">
        <v>481</v>
      </c>
    </row>
    <row r="314" spans="1:1" hidden="1" x14ac:dyDescent="0.25">
      <c r="A314" t="s">
        <v>482</v>
      </c>
    </row>
    <row r="315" spans="1:1" hidden="1" x14ac:dyDescent="0.25">
      <c r="A315" t="s">
        <v>483</v>
      </c>
    </row>
    <row r="316" spans="1:1" hidden="1" x14ac:dyDescent="0.25">
      <c r="A316" t="s">
        <v>484</v>
      </c>
    </row>
    <row r="317" spans="1:1" hidden="1" x14ac:dyDescent="0.25">
      <c r="A317" t="s">
        <v>485</v>
      </c>
    </row>
    <row r="318" spans="1:1" hidden="1" x14ac:dyDescent="0.25">
      <c r="A318" t="s">
        <v>486</v>
      </c>
    </row>
    <row r="319" spans="1:1" hidden="1" x14ac:dyDescent="0.25">
      <c r="A319" t="s">
        <v>487</v>
      </c>
    </row>
    <row r="320" spans="1:1" hidden="1" x14ac:dyDescent="0.25">
      <c r="A320" t="s">
        <v>488</v>
      </c>
    </row>
    <row r="321" spans="1:1" hidden="1" x14ac:dyDescent="0.25">
      <c r="A321" t="s">
        <v>489</v>
      </c>
    </row>
    <row r="322" spans="1:1" hidden="1" x14ac:dyDescent="0.25">
      <c r="A322" t="s">
        <v>490</v>
      </c>
    </row>
    <row r="323" spans="1:1" hidden="1" x14ac:dyDescent="0.25">
      <c r="A323" t="s">
        <v>491</v>
      </c>
    </row>
    <row r="324" spans="1:1" hidden="1" x14ac:dyDescent="0.25">
      <c r="A324" t="s">
        <v>492</v>
      </c>
    </row>
    <row r="325" spans="1:1" hidden="1" x14ac:dyDescent="0.25">
      <c r="A325" t="s">
        <v>493</v>
      </c>
    </row>
    <row r="326" spans="1:1" hidden="1" x14ac:dyDescent="0.25">
      <c r="A326" t="s">
        <v>494</v>
      </c>
    </row>
    <row r="327" spans="1:1" hidden="1" x14ac:dyDescent="0.25">
      <c r="A327" t="s">
        <v>495</v>
      </c>
    </row>
    <row r="328" spans="1:1" hidden="1" x14ac:dyDescent="0.25">
      <c r="A328" t="s">
        <v>496</v>
      </c>
    </row>
    <row r="329" spans="1:1" hidden="1" x14ac:dyDescent="0.25">
      <c r="A329" t="s">
        <v>497</v>
      </c>
    </row>
    <row r="330" spans="1:1" hidden="1" x14ac:dyDescent="0.25">
      <c r="A330" t="s">
        <v>498</v>
      </c>
    </row>
  </sheetData>
  <autoFilter ref="A1:A330" xr:uid="{F4C83881-12D1-449F-919B-9F3C3BBD200D}">
    <filterColumn colId="0">
      <filters>
        <filter val="Instalation_DB.Belt0.Dir[0].Interface.Input.Start"/>
        <filter val="Instalation_DB.Belt0.Dir[0].Interface.Input.Stop"/>
        <filter val="Instalation_DB.Belt0.Dir[0].Interface.Output.Start"/>
        <filter val="Instalation_DB.Belt0.Dir[0].Interface.Output.Stop"/>
        <filter val="Instalation_DB.Belt0.Dir[1].Interface.Input.Start"/>
        <filter val="Instalation_DB.Belt0.Dir[1].Interface.Input.Stop"/>
        <filter val="Instalation_DB.Belt0.Dir[1].Interface.Output.Start"/>
        <filter val="Instalation_DB.Belt0.Dir[1].Interface.Output.Stop"/>
        <filter val="Instalation_DB.Belt1.Dir[0].Interface.Input.Start"/>
        <filter val="Instalation_DB.Belt1.Dir[0].Interface.Input.Stop"/>
        <filter val="Instalation_DB.Belt1.Dir[0].Interface.Output.Start"/>
        <filter val="Instalation_DB.Belt1.Dir[0].Interface.Output.Stop"/>
        <filter val="Instalation_DB.Belt1.Dir[1].Interface.Input.Start"/>
        <filter val="Instalation_DB.Belt1.Dir[1].Interface.Input.Stop"/>
        <filter val="Instalation_DB.Belt1.Dir[1].Interface.Output.Start"/>
        <filter val="Instalation_DB.Belt1.Dir[1].Interface.Output.Stop"/>
        <filter val="Instalation_DB.Belt2.Dir[0].Interface.Input.Start"/>
        <filter val="Instalation_DB.Belt2.Dir[0].Interface.Input.Stop"/>
        <filter val="Instalation_DB.Belt2.Dir[0].Interface.Output.Start"/>
        <filter val="Instalation_DB.Belt2.Dir[0].Interface.Output.Stop"/>
        <filter val="Instalation_DB.Belt2.Dir[1].Interface.Input.Start"/>
        <filter val="Instalation_DB.Belt2.Dir[1].Interface.Input.Stop"/>
        <filter val="Instalation_DB.Belt2.Dir[1].Interface.Output.Start"/>
        <filter val="Instalation_DB.Belt2.Dir[1].Interface.Output.Stop"/>
        <filter val="Instalation_DB.Belt3.Dir[0].Interface.Input.Start"/>
        <filter val="Instalation_DB.Belt3.Dir[0].Interface.Input.Stop"/>
        <filter val="Instalation_DB.Belt3.Dir[0].Interface.Output.Start"/>
        <filter val="Instalation_DB.Belt3.Dir[0].Interface.Output.Stop"/>
        <filter val="Instalation_DB.Belt3.Dir[1].Interface.Input.Start"/>
        <filter val="Instalation_DB.Belt3.Dir[1].Interface.Input.Stop"/>
        <filter val="Instalation_DB.Belt3.Dir[1].Interface.Output.Start"/>
        <filter val="Instalation_DB.Belt3.Dir[1].Interface.Output.Stop"/>
        <filter val="Instalation_DB.Div1.Pos[0].Interface.Input.Start"/>
        <filter val="Instalation_DB.Div1.Pos[0].Interface.Input.Stop"/>
        <filter val="Instalation_DB.Div1.Pos[0].Interface.Output.Start"/>
        <filter val="Instalation_DB.Div1.Pos[0].Interface.Output.Stop"/>
        <filter val="Instalation_DB.Div1.Pos[1].Interface.Input.Start"/>
        <filter val="Instalation_DB.Div1.Pos[1].Interface.Input.Stop"/>
        <filter val="Instalation_DB.Div1.Pos[1].Interface.Output.Start"/>
        <filter val="Instalation_DB.Div1.Pos[1].Interface.Output.Stop"/>
      </filters>
    </filterColumn>
  </autoFilter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A82F-19CF-4DC7-9E11-B4DE3A5C22C0}">
  <sheetPr codeName="Sheet18"/>
  <dimension ref="A1:D19"/>
  <sheetViews>
    <sheetView workbookViewId="0">
      <selection activeCell="C23" sqref="C23"/>
    </sheetView>
  </sheetViews>
  <sheetFormatPr defaultColWidth="17.42578125" defaultRowHeight="15" x14ac:dyDescent="0.25"/>
  <cols>
    <col min="1" max="1" width="49" customWidth="1"/>
    <col min="2" max="2" width="38.140625" bestFit="1" customWidth="1"/>
    <col min="3" max="3" width="11.7109375" customWidth="1"/>
  </cols>
  <sheetData>
    <row r="1" spans="1:4" x14ac:dyDescent="0.25">
      <c r="B1" t="s">
        <v>331</v>
      </c>
      <c r="C1" t="s">
        <v>80</v>
      </c>
      <c r="D1" t="s">
        <v>50</v>
      </c>
    </row>
    <row r="2" spans="1:4" x14ac:dyDescent="0.25">
      <c r="A2" t="str">
        <f>+B2&amp;" := T#"&amp;C2&amp;D2&amp;";"</f>
        <v>Instalation_DB.Belt1.Dir[0].MovStart.Tim := T#2s;</v>
      </c>
      <c r="B2" t="s">
        <v>157</v>
      </c>
      <c r="C2">
        <v>2</v>
      </c>
      <c r="D2" t="s">
        <v>562</v>
      </c>
    </row>
    <row r="3" spans="1:4" x14ac:dyDescent="0.25">
      <c r="A3" t="str">
        <f t="shared" ref="A3:A19" si="0">+B3&amp;" := T#"&amp;C3&amp;D3&amp;";"</f>
        <v>Instalation_DB.Belt1.Dir[0].MovStop.Tim := T#2s;</v>
      </c>
      <c r="B3" t="s">
        <v>162</v>
      </c>
      <c r="C3">
        <v>2</v>
      </c>
      <c r="D3" t="s">
        <v>562</v>
      </c>
    </row>
    <row r="4" spans="1:4" x14ac:dyDescent="0.25">
      <c r="A4" t="str">
        <f t="shared" si="0"/>
        <v>Instalation_DB.Belt1.Dir[1].MovStart.Tim := T#2s;</v>
      </c>
      <c r="B4" t="s">
        <v>175</v>
      </c>
      <c r="C4">
        <v>2</v>
      </c>
      <c r="D4" t="s">
        <v>562</v>
      </c>
    </row>
    <row r="5" spans="1:4" x14ac:dyDescent="0.25">
      <c r="A5" t="str">
        <f t="shared" si="0"/>
        <v>Instalation_DB.Belt1.Dir[1].MovStop.Tim := T#2s;</v>
      </c>
      <c r="B5" t="s">
        <v>180</v>
      </c>
      <c r="C5">
        <v>2</v>
      </c>
      <c r="D5" t="s">
        <v>562</v>
      </c>
    </row>
    <row r="6" spans="1:4" x14ac:dyDescent="0.25">
      <c r="A6" t="str">
        <f t="shared" si="0"/>
        <v>Instalation_DB.Belt2.Dir[0].MovStart.Tim := T#2s;</v>
      </c>
      <c r="B6" t="s">
        <v>219</v>
      </c>
      <c r="C6">
        <v>2</v>
      </c>
      <c r="D6" t="s">
        <v>562</v>
      </c>
    </row>
    <row r="7" spans="1:4" x14ac:dyDescent="0.25">
      <c r="A7" t="str">
        <f t="shared" si="0"/>
        <v>Instalation_DB.Belt2.Dir[0].MovStop.Tim := T#2s;</v>
      </c>
      <c r="B7" t="s">
        <v>224</v>
      </c>
      <c r="C7">
        <v>2</v>
      </c>
      <c r="D7" t="s">
        <v>562</v>
      </c>
    </row>
    <row r="8" spans="1:4" x14ac:dyDescent="0.25">
      <c r="A8" t="str">
        <f t="shared" si="0"/>
        <v>Instalation_DB.Belt2.Dir[1].MovStart.Tim := T#2s;</v>
      </c>
      <c r="B8" t="s">
        <v>237</v>
      </c>
      <c r="C8">
        <v>2</v>
      </c>
      <c r="D8" t="s">
        <v>562</v>
      </c>
    </row>
    <row r="9" spans="1:4" x14ac:dyDescent="0.25">
      <c r="A9" t="str">
        <f t="shared" si="0"/>
        <v>Instalation_DB.Belt2.Dir[1].MovStop.Tim := T#2s;</v>
      </c>
      <c r="B9" t="s">
        <v>242</v>
      </c>
      <c r="C9">
        <v>2</v>
      </c>
      <c r="D9" t="s">
        <v>562</v>
      </c>
    </row>
    <row r="10" spans="1:4" x14ac:dyDescent="0.25">
      <c r="A10" t="str">
        <f t="shared" si="0"/>
        <v>Instalation_DB.Belt3.Dir[0].MovStart.Tim := T#2s;</v>
      </c>
      <c r="B10" t="s">
        <v>281</v>
      </c>
      <c r="C10">
        <v>2</v>
      </c>
      <c r="D10" t="s">
        <v>562</v>
      </c>
    </row>
    <row r="11" spans="1:4" x14ac:dyDescent="0.25">
      <c r="A11" t="str">
        <f t="shared" si="0"/>
        <v>Instalation_DB.Belt3.Dir[0].MovStop.Tim := T#2s;</v>
      </c>
      <c r="B11" t="s">
        <v>286</v>
      </c>
      <c r="C11">
        <v>2</v>
      </c>
      <c r="D11" t="s">
        <v>562</v>
      </c>
    </row>
    <row r="12" spans="1:4" x14ac:dyDescent="0.25">
      <c r="A12" t="str">
        <f t="shared" si="0"/>
        <v>Instalation_DB.Belt3.Dir[1].MovStart.Tim := T#2s;</v>
      </c>
      <c r="B12" t="s">
        <v>299</v>
      </c>
      <c r="C12">
        <v>2</v>
      </c>
      <c r="D12" t="s">
        <v>562</v>
      </c>
    </row>
    <row r="13" spans="1:4" x14ac:dyDescent="0.25">
      <c r="A13" t="str">
        <f t="shared" si="0"/>
        <v>Instalation_DB.Belt3.Dir[1].MovStop.Tim := T#2s;</v>
      </c>
      <c r="B13" t="s">
        <v>304</v>
      </c>
      <c r="C13">
        <v>2</v>
      </c>
      <c r="D13" t="s">
        <v>562</v>
      </c>
    </row>
    <row r="14" spans="1:4" x14ac:dyDescent="0.25">
      <c r="A14" t="str">
        <f t="shared" si="0"/>
        <v>Instalation_DB.Div1.Pos[0].PosTimer.Tim := T#2s;</v>
      </c>
      <c r="B14" t="s">
        <v>383</v>
      </c>
      <c r="C14">
        <v>2</v>
      </c>
      <c r="D14" t="s">
        <v>562</v>
      </c>
    </row>
    <row r="15" spans="1:4" x14ac:dyDescent="0.25">
      <c r="A15" t="str">
        <f t="shared" si="0"/>
        <v>Instalation_DB.Div1.Pos[1].PosTimer.Tim := T#2s;</v>
      </c>
      <c r="B15" t="s">
        <v>395</v>
      </c>
      <c r="C15">
        <v>2</v>
      </c>
      <c r="D15" t="s">
        <v>562</v>
      </c>
    </row>
    <row r="16" spans="1:4" x14ac:dyDescent="0.25">
      <c r="A16" t="str">
        <f t="shared" si="0"/>
        <v>Instalation_DB.Belt0.Dir[0].MovStart.Tim := T#2s;</v>
      </c>
      <c r="B16" t="s">
        <v>440</v>
      </c>
      <c r="C16">
        <v>2</v>
      </c>
      <c r="D16" t="s">
        <v>562</v>
      </c>
    </row>
    <row r="17" spans="1:4" x14ac:dyDescent="0.25">
      <c r="A17" t="str">
        <f t="shared" si="0"/>
        <v>Instalation_DB.Belt0.Dir[0].MovStop.Tim := T#2s;</v>
      </c>
      <c r="B17" t="s">
        <v>445</v>
      </c>
      <c r="C17">
        <v>2</v>
      </c>
      <c r="D17" t="s">
        <v>562</v>
      </c>
    </row>
    <row r="18" spans="1:4" x14ac:dyDescent="0.25">
      <c r="A18" t="str">
        <f t="shared" si="0"/>
        <v>Instalation_DB.Belt0.Dir[1].MovStart.Tim := T#2s;</v>
      </c>
      <c r="B18" t="s">
        <v>459</v>
      </c>
      <c r="C18">
        <v>2</v>
      </c>
      <c r="D18" t="s">
        <v>562</v>
      </c>
    </row>
    <row r="19" spans="1:4" x14ac:dyDescent="0.25">
      <c r="A19" t="str">
        <f t="shared" si="0"/>
        <v>Instalation_DB.Belt0.Dir[1].MovStop.Tim := T#2s;</v>
      </c>
      <c r="B19" t="s">
        <v>464</v>
      </c>
      <c r="C19">
        <v>2</v>
      </c>
      <c r="D19" t="s">
        <v>562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82E72-0830-4FEF-89AF-3257E097BD69}">
  <sheetPr codeName="Sheet14"/>
  <dimension ref="A1:D33"/>
  <sheetViews>
    <sheetView workbookViewId="0">
      <selection activeCell="D22" sqref="D22:F24"/>
    </sheetView>
  </sheetViews>
  <sheetFormatPr defaultRowHeight="15" x14ac:dyDescent="0.25"/>
  <cols>
    <col min="1" max="1" width="58.7109375" customWidth="1"/>
    <col min="2" max="2" width="43.140625" bestFit="1" customWidth="1"/>
    <col min="3" max="3" width="13.28515625" customWidth="1"/>
    <col min="4" max="4" width="10.5703125" customWidth="1"/>
  </cols>
  <sheetData>
    <row r="1" spans="1:4" x14ac:dyDescent="0.25">
      <c r="B1" t="s">
        <v>331</v>
      </c>
    </row>
    <row r="2" spans="1:4" x14ac:dyDescent="0.25">
      <c r="A2" t="str">
        <f t="shared" ref="A2:A24" si="0">+B2&amp;" := "&amp;D2&amp;" "&amp;C2&amp;";"</f>
        <v>Instalation_DB.Belt1.Dir[0].LimitSwitch.Inp := NOT E8_0;</v>
      </c>
      <c r="B2" t="s">
        <v>149</v>
      </c>
      <c r="C2" s="12" t="s">
        <v>530</v>
      </c>
      <c r="D2" t="s">
        <v>510</v>
      </c>
    </row>
    <row r="3" spans="1:4" x14ac:dyDescent="0.25">
      <c r="A3" t="str">
        <f t="shared" si="0"/>
        <v>Instalation_DB.Belt1.Dir[1].LimitSwitch.Inp := NOT E8_1;</v>
      </c>
      <c r="B3" t="s">
        <v>167</v>
      </c>
      <c r="C3" s="12" t="s">
        <v>531</v>
      </c>
      <c r="D3" t="s">
        <v>510</v>
      </c>
    </row>
    <row r="4" spans="1:4" x14ac:dyDescent="0.25">
      <c r="A4" t="str">
        <f t="shared" si="0"/>
        <v>Instalation_DB.Belt1.RotDetector.Detector.Inp :=  E8_2;</v>
      </c>
      <c r="B4" t="s">
        <v>184</v>
      </c>
      <c r="C4" s="12" t="s">
        <v>532</v>
      </c>
      <c r="D4" s="12"/>
    </row>
    <row r="5" spans="1:4" x14ac:dyDescent="0.25">
      <c r="A5" t="str">
        <f t="shared" si="0"/>
        <v>Instalation_DB.Belt1.Motor.ThProt.Alm.Inp :=  E8_3;</v>
      </c>
      <c r="B5" t="s">
        <v>201</v>
      </c>
      <c r="C5" s="12" t="s">
        <v>533</v>
      </c>
      <c r="D5" s="12"/>
    </row>
    <row r="6" spans="1:4" x14ac:dyDescent="0.25">
      <c r="A6" t="str">
        <f t="shared" si="0"/>
        <v>Instalation_DB.Belt1.EmergencyStop.Alm.Inp := NOT E8_4;</v>
      </c>
      <c r="B6" t="s">
        <v>204</v>
      </c>
      <c r="C6" s="12" t="s">
        <v>534</v>
      </c>
      <c r="D6" s="12" t="s">
        <v>510</v>
      </c>
    </row>
    <row r="7" spans="1:4" x14ac:dyDescent="0.25">
      <c r="A7" t="str">
        <f t="shared" si="0"/>
        <v>Instalation_DB.Belt2.Dir[0].LimitSwitch.Inp := NOT E8_5;</v>
      </c>
      <c r="B7" t="s">
        <v>211</v>
      </c>
      <c r="C7" s="12" t="s">
        <v>535</v>
      </c>
      <c r="D7" t="s">
        <v>510</v>
      </c>
    </row>
    <row r="8" spans="1:4" x14ac:dyDescent="0.25">
      <c r="A8" t="str">
        <f t="shared" si="0"/>
        <v>Instalation_DB.Belt2.Dir[1].LimitSwitch.Inp := NOT E8_6;</v>
      </c>
      <c r="B8" t="s">
        <v>229</v>
      </c>
      <c r="C8" s="12" t="s">
        <v>536</v>
      </c>
      <c r="D8" t="s">
        <v>510</v>
      </c>
    </row>
    <row r="9" spans="1:4" x14ac:dyDescent="0.25">
      <c r="A9" t="str">
        <f t="shared" si="0"/>
        <v>Instalation_DB.Belt2.RotDetector.Detector.Inp :=  E8_7;</v>
      </c>
      <c r="B9" t="s">
        <v>246</v>
      </c>
      <c r="C9" s="12" t="s">
        <v>537</v>
      </c>
      <c r="D9" s="12"/>
    </row>
    <row r="10" spans="1:4" x14ac:dyDescent="0.25">
      <c r="A10" t="str">
        <f t="shared" si="0"/>
        <v>Instalation_DB.Belt2.Motor.ThProt.Alm.Inp :=  E9_0;</v>
      </c>
      <c r="B10" t="s">
        <v>263</v>
      </c>
      <c r="C10" s="12" t="s">
        <v>538</v>
      </c>
      <c r="D10" s="12"/>
    </row>
    <row r="11" spans="1:4" x14ac:dyDescent="0.25">
      <c r="A11" t="str">
        <f t="shared" si="0"/>
        <v>Instalation_DB.Belt2.EmergencyStop.Alm.Inp := NOT E9_1;</v>
      </c>
      <c r="B11" t="s">
        <v>266</v>
      </c>
      <c r="C11" s="12" t="s">
        <v>539</v>
      </c>
      <c r="D11" s="12" t="s">
        <v>510</v>
      </c>
    </row>
    <row r="12" spans="1:4" x14ac:dyDescent="0.25">
      <c r="A12" t="str">
        <f t="shared" si="0"/>
        <v>Instalation_DB.Belt3.Dir[0].LimitSwitch.Inp := NOT E9_2;</v>
      </c>
      <c r="B12" t="s">
        <v>273</v>
      </c>
      <c r="C12" s="12" t="s">
        <v>540</v>
      </c>
      <c r="D12" t="s">
        <v>510</v>
      </c>
    </row>
    <row r="13" spans="1:4" x14ac:dyDescent="0.25">
      <c r="A13" t="str">
        <f t="shared" si="0"/>
        <v>Instalation_DB.Belt3.Dir[1].LimitSwitch.Inp := NOT E9_3;</v>
      </c>
      <c r="B13" t="s">
        <v>291</v>
      </c>
      <c r="C13" s="12" t="s">
        <v>541</v>
      </c>
      <c r="D13" t="s">
        <v>510</v>
      </c>
    </row>
    <row r="14" spans="1:4" x14ac:dyDescent="0.25">
      <c r="A14" t="str">
        <f t="shared" si="0"/>
        <v>Instalation_DB.Belt3.RotDetector.Detector.Inp :=  E9_4;</v>
      </c>
      <c r="B14" t="s">
        <v>308</v>
      </c>
      <c r="C14" s="12" t="s">
        <v>542</v>
      </c>
      <c r="D14" s="12"/>
    </row>
    <row r="15" spans="1:4" x14ac:dyDescent="0.25">
      <c r="A15" t="str">
        <f t="shared" si="0"/>
        <v>Instalation_DB.Belt3.Motor.ThProt.Alm.Inp :=  E9_5;</v>
      </c>
      <c r="B15" t="s">
        <v>325</v>
      </c>
      <c r="C15" s="12" t="s">
        <v>543</v>
      </c>
      <c r="D15" s="12"/>
    </row>
    <row r="16" spans="1:4" x14ac:dyDescent="0.25">
      <c r="A16" t="str">
        <f t="shared" si="0"/>
        <v>Instalation_DB.Belt3.EmergencyStop.Alm.Inp := NOT E9_6;</v>
      </c>
      <c r="B16" t="s">
        <v>328</v>
      </c>
      <c r="C16" s="12" t="s">
        <v>544</v>
      </c>
      <c r="D16" s="12" t="s">
        <v>510</v>
      </c>
    </row>
    <row r="17" spans="1:4" x14ac:dyDescent="0.25">
      <c r="A17" t="str">
        <f t="shared" si="0"/>
        <v>Instalation_DB.Div1.Pos[0].LimitSwitch.Inp := NOT E9_7;</v>
      </c>
      <c r="B17" t="s">
        <v>408</v>
      </c>
      <c r="C17" s="12" t="s">
        <v>545</v>
      </c>
      <c r="D17" t="s">
        <v>510</v>
      </c>
    </row>
    <row r="18" spans="1:4" x14ac:dyDescent="0.25">
      <c r="A18" t="str">
        <f t="shared" si="0"/>
        <v>Instalation_DB.Div1.Pos[1].LimitSwitch.Inp := NOT E12_0;</v>
      </c>
      <c r="B18" t="s">
        <v>413</v>
      </c>
      <c r="C18" s="12" t="s">
        <v>546</v>
      </c>
      <c r="D18" t="s">
        <v>510</v>
      </c>
    </row>
    <row r="19" spans="1:4" x14ac:dyDescent="0.25">
      <c r="A19" t="str">
        <f t="shared" si="0"/>
        <v>Instalation_DB.Div1.Motor.ThProt.Alm.Inp :=  E12_1;</v>
      </c>
      <c r="B19" t="s">
        <v>401</v>
      </c>
      <c r="C19" s="12" t="s">
        <v>547</v>
      </c>
      <c r="D19" s="12"/>
    </row>
    <row r="20" spans="1:4" x14ac:dyDescent="0.25">
      <c r="A20" t="str">
        <f t="shared" si="0"/>
        <v>Instalation_DB.Belt0.Dir[0].LimitSwitch.Inp := NOT E12_2;</v>
      </c>
      <c r="B20" t="s">
        <v>431</v>
      </c>
      <c r="C20" s="12" t="s">
        <v>548</v>
      </c>
      <c r="D20" t="s">
        <v>510</v>
      </c>
    </row>
    <row r="21" spans="1:4" x14ac:dyDescent="0.25">
      <c r="A21" t="str">
        <f t="shared" si="0"/>
        <v>Instalation_DB.Belt0.Dir[1].LimitSwitch.Inp := NOT E12_3;</v>
      </c>
      <c r="B21" t="s">
        <v>450</v>
      </c>
      <c r="C21" s="12" t="s">
        <v>549</v>
      </c>
      <c r="D21" t="s">
        <v>510</v>
      </c>
    </row>
    <row r="22" spans="1:4" x14ac:dyDescent="0.25">
      <c r="A22" t="str">
        <f t="shared" si="0"/>
        <v>Instalation_DB.Belt0.RotDetector.Detector.Inp :=  E12_4;</v>
      </c>
      <c r="B22" t="s">
        <v>468</v>
      </c>
      <c r="C22" s="12" t="s">
        <v>550</v>
      </c>
      <c r="D22" s="12"/>
    </row>
    <row r="23" spans="1:4" x14ac:dyDescent="0.25">
      <c r="A23" t="str">
        <f t="shared" si="0"/>
        <v>Instalation_DB.Belt0.Motor.ThProt.Alm.Inp :=  E12_5;</v>
      </c>
      <c r="B23" t="s">
        <v>488</v>
      </c>
      <c r="C23" s="12" t="s">
        <v>551</v>
      </c>
      <c r="D23" s="12"/>
    </row>
    <row r="24" spans="1:4" x14ac:dyDescent="0.25">
      <c r="A24" t="str">
        <f t="shared" si="0"/>
        <v>Instalation_DB.Belt0.EmergencyStop.Alm.Inp := NOT E12_6;</v>
      </c>
      <c r="B24" t="s">
        <v>491</v>
      </c>
      <c r="C24" s="12" t="s">
        <v>552</v>
      </c>
      <c r="D24" s="12" t="s">
        <v>510</v>
      </c>
    </row>
    <row r="25" spans="1:4" x14ac:dyDescent="0.25">
      <c r="C25" s="12" t="s">
        <v>553</v>
      </c>
    </row>
    <row r="26" spans="1:4" x14ac:dyDescent="0.25">
      <c r="C26" t="s">
        <v>554</v>
      </c>
    </row>
    <row r="27" spans="1:4" x14ac:dyDescent="0.25">
      <c r="C27" t="s">
        <v>555</v>
      </c>
    </row>
    <row r="28" spans="1:4" x14ac:dyDescent="0.25">
      <c r="C28" t="s">
        <v>556</v>
      </c>
    </row>
    <row r="29" spans="1:4" x14ac:dyDescent="0.25">
      <c r="C29" t="s">
        <v>557</v>
      </c>
    </row>
    <row r="30" spans="1:4" x14ac:dyDescent="0.25">
      <c r="C30" t="s">
        <v>558</v>
      </c>
    </row>
    <row r="31" spans="1:4" x14ac:dyDescent="0.25">
      <c r="C31" t="s">
        <v>559</v>
      </c>
    </row>
    <row r="32" spans="1:4" x14ac:dyDescent="0.25">
      <c r="C32" t="s">
        <v>560</v>
      </c>
    </row>
    <row r="33" spans="3:3" x14ac:dyDescent="0.25">
      <c r="C33" t="s">
        <v>561</v>
      </c>
    </row>
  </sheetData>
  <autoFilter ref="B1:C33" xr:uid="{14F82E72-0830-4FEF-89AF-3257E097BD69}"/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938E5-40AD-4032-9A9E-BBD3DDF8030A}">
  <sheetPr codeName="Sheet15"/>
  <dimension ref="A1:C11"/>
  <sheetViews>
    <sheetView workbookViewId="0">
      <selection activeCell="F14" sqref="F14"/>
    </sheetView>
  </sheetViews>
  <sheetFormatPr defaultRowHeight="15" x14ac:dyDescent="0.25"/>
  <cols>
    <col min="1" max="1" width="47.85546875" customWidth="1"/>
    <col min="2" max="2" width="37.85546875" customWidth="1"/>
  </cols>
  <sheetData>
    <row r="1" spans="1:3" x14ac:dyDescent="0.25">
      <c r="B1" t="s">
        <v>331</v>
      </c>
    </row>
    <row r="2" spans="1:3" x14ac:dyDescent="0.25">
      <c r="A2" t="str">
        <f t="shared" ref="A2:A11" si="0">+C2&amp;" := "&amp;B2&amp;";"</f>
        <v>A0_0 := Instalation_DB.Belt1.Dir[0].Drive.Out;</v>
      </c>
      <c r="B2" t="s">
        <v>152</v>
      </c>
      <c r="C2" t="s">
        <v>520</v>
      </c>
    </row>
    <row r="3" spans="1:3" x14ac:dyDescent="0.25">
      <c r="A3" t="str">
        <f t="shared" si="0"/>
        <v>A0_1 := Instalation_DB.Belt1.Dir[1].Drive.Out;</v>
      </c>
      <c r="B3" t="s">
        <v>170</v>
      </c>
      <c r="C3" t="s">
        <v>521</v>
      </c>
    </row>
    <row r="4" spans="1:3" x14ac:dyDescent="0.25">
      <c r="A4" t="str">
        <f t="shared" si="0"/>
        <v>A0_2 := Instalation_DB.Belt2.Dir[0].Drive.Out;</v>
      </c>
      <c r="B4" t="s">
        <v>214</v>
      </c>
      <c r="C4" t="s">
        <v>522</v>
      </c>
    </row>
    <row r="5" spans="1:3" x14ac:dyDescent="0.25">
      <c r="A5" t="str">
        <f t="shared" si="0"/>
        <v>A0_3 := Instalation_DB.Belt2.Dir[1].Drive.Out;</v>
      </c>
      <c r="B5" t="s">
        <v>232</v>
      </c>
      <c r="C5" t="s">
        <v>523</v>
      </c>
    </row>
    <row r="6" spans="1:3" x14ac:dyDescent="0.25">
      <c r="A6" t="str">
        <f t="shared" si="0"/>
        <v>A0_4 := Instalation_DB.Belt3.Dir[0].Drive.Out;</v>
      </c>
      <c r="B6" t="s">
        <v>276</v>
      </c>
      <c r="C6" t="s">
        <v>524</v>
      </c>
    </row>
    <row r="7" spans="1:3" x14ac:dyDescent="0.25">
      <c r="A7" t="str">
        <f t="shared" si="0"/>
        <v>A0_5 := Instalation_DB.Belt3.Dir[1].Drive.Out;</v>
      </c>
      <c r="B7" t="s">
        <v>294</v>
      </c>
      <c r="C7" t="s">
        <v>525</v>
      </c>
    </row>
    <row r="8" spans="1:3" x14ac:dyDescent="0.25">
      <c r="A8" t="str">
        <f t="shared" si="0"/>
        <v>A0_6 := Instalation_DB.Div1.Motor.Dir[0].Out;</v>
      </c>
      <c r="B8" t="s">
        <v>507</v>
      </c>
      <c r="C8" t="s">
        <v>526</v>
      </c>
    </row>
    <row r="9" spans="1:3" x14ac:dyDescent="0.25">
      <c r="A9" t="str">
        <f t="shared" si="0"/>
        <v>A0_7 := Instalation_DB.Div1.Motor.Dir[1].Out;</v>
      </c>
      <c r="B9" t="s">
        <v>508</v>
      </c>
      <c r="C9" t="s">
        <v>527</v>
      </c>
    </row>
    <row r="10" spans="1:3" x14ac:dyDescent="0.25">
      <c r="A10" t="str">
        <f t="shared" si="0"/>
        <v>A1_0 := Instalation_DB.Belt0.Dir[0].Drive.Out;</v>
      </c>
      <c r="B10" t="s">
        <v>435</v>
      </c>
      <c r="C10" t="s">
        <v>528</v>
      </c>
    </row>
    <row r="11" spans="1:3" x14ac:dyDescent="0.25">
      <c r="A11" t="str">
        <f t="shared" si="0"/>
        <v>A1_1 := Instalation_DB.Belt0.Dir[1].Drive.Out;</v>
      </c>
      <c r="B11" t="s">
        <v>454</v>
      </c>
      <c r="C11" t="s">
        <v>529</v>
      </c>
    </row>
  </sheetData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F4264-B166-4A49-9566-A85D32C1060D}">
  <sheetPr codeName="Sheet6"/>
  <dimension ref="A1:D21"/>
  <sheetViews>
    <sheetView workbookViewId="0">
      <selection activeCell="A2" sqref="A2"/>
    </sheetView>
  </sheetViews>
  <sheetFormatPr defaultColWidth="22.7109375" defaultRowHeight="15" x14ac:dyDescent="0.25"/>
  <cols>
    <col min="1" max="1" width="75.28515625" customWidth="1"/>
    <col min="2" max="2" width="93.28515625" customWidth="1"/>
    <col min="3" max="3" width="37.28515625" customWidth="1"/>
  </cols>
  <sheetData>
    <row r="1" spans="1:2" x14ac:dyDescent="0.25">
      <c r="A1" t="s">
        <v>512</v>
      </c>
      <c r="B1" t="s">
        <v>331</v>
      </c>
    </row>
    <row r="2" spans="1:2" x14ac:dyDescent="0.25">
      <c r="A2" t="str">
        <f t="shared" ref="A2:A16" si="0">"OR "&amp;B2</f>
        <v>OR Instalation_DB.Belt1.RotDetector.WatchTimeOut.Alm.Pul</v>
      </c>
      <c r="B2" t="s">
        <v>199</v>
      </c>
    </row>
    <row r="3" spans="1:2" x14ac:dyDescent="0.25">
      <c r="A3" t="str">
        <f t="shared" si="0"/>
        <v>OR Instalation_DB.Belt1.Motor.ThProt.Alm.Pul</v>
      </c>
      <c r="B3" t="s">
        <v>203</v>
      </c>
    </row>
    <row r="4" spans="1:2" x14ac:dyDescent="0.25">
      <c r="A4" t="str">
        <f t="shared" si="0"/>
        <v>OR Instalation_DB.Belt1.EmergencyStop.Alm.Pul</v>
      </c>
      <c r="B4" t="s">
        <v>206</v>
      </c>
    </row>
    <row r="5" spans="1:2" x14ac:dyDescent="0.25">
      <c r="A5" t="str">
        <f t="shared" si="0"/>
        <v>OR Instalation_DB.Belt2.RotDetector.WatchTimeOut.Alm.Pul</v>
      </c>
      <c r="B5" t="s">
        <v>261</v>
      </c>
    </row>
    <row r="6" spans="1:2" x14ac:dyDescent="0.25">
      <c r="A6" t="str">
        <f t="shared" si="0"/>
        <v>OR Instalation_DB.Belt2.Motor.ThProt.Alm.Pul</v>
      </c>
      <c r="B6" t="s">
        <v>265</v>
      </c>
    </row>
    <row r="7" spans="1:2" x14ac:dyDescent="0.25">
      <c r="A7" t="str">
        <f t="shared" si="0"/>
        <v>OR Instalation_DB.Belt2.EmergencyStop.Alm.Pul</v>
      </c>
      <c r="B7" t="s">
        <v>268</v>
      </c>
    </row>
    <row r="8" spans="1:2" x14ac:dyDescent="0.25">
      <c r="A8" t="str">
        <f t="shared" si="0"/>
        <v>OR Instalation_DB.Belt3.RotDetector.WatchTimeOut.Alm.Pul</v>
      </c>
      <c r="B8" t="s">
        <v>323</v>
      </c>
    </row>
    <row r="9" spans="1:2" x14ac:dyDescent="0.25">
      <c r="A9" t="str">
        <f t="shared" si="0"/>
        <v>OR Instalation_DB.Belt3.Motor.ThProt.Alm.Pul</v>
      </c>
      <c r="B9" t="s">
        <v>327</v>
      </c>
    </row>
    <row r="10" spans="1:2" x14ac:dyDescent="0.25">
      <c r="A10" t="str">
        <f t="shared" si="0"/>
        <v>OR Instalation_DB.Belt3.EmergencyStop.Alm.Pul</v>
      </c>
      <c r="B10" t="s">
        <v>330</v>
      </c>
    </row>
    <row r="11" spans="1:2" x14ac:dyDescent="0.25">
      <c r="A11" t="str">
        <f t="shared" si="0"/>
        <v>OR Instalation_DB.Div1.Pos[0].Alm.Pul</v>
      </c>
      <c r="B11" t="s">
        <v>386</v>
      </c>
    </row>
    <row r="12" spans="1:2" x14ac:dyDescent="0.25">
      <c r="A12" t="str">
        <f t="shared" si="0"/>
        <v>OR Instalation_DB.Div1.Pos[1].Alm.Pul</v>
      </c>
      <c r="B12" t="s">
        <v>398</v>
      </c>
    </row>
    <row r="13" spans="1:2" x14ac:dyDescent="0.25">
      <c r="A13" t="str">
        <f t="shared" si="0"/>
        <v>OR Instalation_DB.Div1.Motor.ThProt.Alm.Pul</v>
      </c>
      <c r="B13" t="s">
        <v>403</v>
      </c>
    </row>
    <row r="14" spans="1:2" x14ac:dyDescent="0.25">
      <c r="A14" t="str">
        <f t="shared" si="0"/>
        <v>OR Instalation_DB.Belt0.RotDetector.WatchTimeOut.Alm.Pul</v>
      </c>
      <c r="B14" t="s">
        <v>483</v>
      </c>
    </row>
    <row r="15" spans="1:2" x14ac:dyDescent="0.25">
      <c r="A15" t="str">
        <f t="shared" si="0"/>
        <v>OR Instalation_DB.Belt0.Motor.ThProt.Alm.Pul</v>
      </c>
      <c r="B15" t="s">
        <v>490</v>
      </c>
    </row>
    <row r="16" spans="1:2" x14ac:dyDescent="0.25">
      <c r="A16" t="str">
        <f t="shared" si="0"/>
        <v>OR Instalation_DB.Belt0.EmergencyStop.Alm.Pul</v>
      </c>
      <c r="B16" t="s">
        <v>493</v>
      </c>
    </row>
    <row r="17" spans="1:4" x14ac:dyDescent="0.25">
      <c r="A17" t="s">
        <v>511</v>
      </c>
    </row>
    <row r="19" spans="1:4" s="1" customFormat="1" x14ac:dyDescent="0.25">
      <c r="A19" s="4" t="str">
        <f>$C19&amp;".Pul  :=  #"&amp;$C19&amp;"."&amp;$D19&amp;" AND NOT #"&amp;$C19&amp;".Mem;IF #"&amp;$C19&amp;".Pul THEN #"&amp;$C19&amp;".Mem:=TRUE;END_IF;"</f>
        <v>AlarmPulse.Pul  :=  #AlarmPulse.Sig AND NOT #AlarmPulse.Mem;IF #AlarmPulse.Pul THEN #AlarmPulse.Mem:=TRUE;END_IF;</v>
      </c>
      <c r="B19" s="6" t="s">
        <v>517</v>
      </c>
      <c r="C19" s="4" t="s">
        <v>516</v>
      </c>
      <c r="D19" t="s">
        <v>8</v>
      </c>
    </row>
    <row r="21" spans="1:4" s="1" customFormat="1" x14ac:dyDescent="0.25">
      <c r="A21" s="4" t="str">
        <f>$C21&amp;".Pul  :=  #"&amp;$C21&amp;"."&amp;$D21&amp;" AND NOT #"&amp;$C21&amp;".Mem;"&amp;$C21&amp;".Mem := "&amp;$C21&amp;"."&amp;$D21&amp;";"</f>
        <v>AlarmPulse.Pul  :=  #AlarmPulse.Sig AND NOT #AlarmPulse.Mem;AlarmPulse.Mem := AlarmPulse.Sig;</v>
      </c>
      <c r="B21" s="6" t="s">
        <v>518</v>
      </c>
      <c r="C21" s="4" t="s">
        <v>516</v>
      </c>
      <c r="D21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D204B-B058-4166-BFD2-7CE3B2EB3D27}">
  <sheetPr codeName="Sheet16"/>
  <dimension ref="A1:C17"/>
  <sheetViews>
    <sheetView workbookViewId="0">
      <selection activeCell="A27" sqref="A27"/>
    </sheetView>
  </sheetViews>
  <sheetFormatPr defaultColWidth="22.7109375" defaultRowHeight="15" x14ac:dyDescent="0.25"/>
  <cols>
    <col min="1" max="1" width="66" customWidth="1"/>
    <col min="2" max="2" width="73.28515625" customWidth="1"/>
    <col min="3" max="3" width="60.5703125" customWidth="1"/>
  </cols>
  <sheetData>
    <row r="1" spans="1:3" x14ac:dyDescent="0.25">
      <c r="A1" t="s">
        <v>513</v>
      </c>
      <c r="B1" t="s">
        <v>515</v>
      </c>
      <c r="C1" t="s">
        <v>331</v>
      </c>
    </row>
    <row r="2" spans="1:3" x14ac:dyDescent="0.25">
      <c r="A2" t="str">
        <f t="shared" ref="A2:A16" si="0">"OR "&amp;C2</f>
        <v>OR Instalation_DB.Belt1.RotDetector.WatchTimeOut.Alm.Mem</v>
      </c>
      <c r="B2" t="str">
        <f t="shared" ref="B2:B16" si="1">+C2&amp;" := False;"</f>
        <v>Instalation_DB.Belt1.RotDetector.WatchTimeOut.Alm.Mem := False;</v>
      </c>
      <c r="C2" t="s">
        <v>198</v>
      </c>
    </row>
    <row r="3" spans="1:3" x14ac:dyDescent="0.25">
      <c r="A3" t="str">
        <f t="shared" si="0"/>
        <v>OR Instalation_DB.Belt1.Motor.ThProt.Alm.Mem</v>
      </c>
      <c r="B3" t="str">
        <f t="shared" si="1"/>
        <v>Instalation_DB.Belt1.Motor.ThProt.Alm.Mem := False;</v>
      </c>
      <c r="C3" t="s">
        <v>202</v>
      </c>
    </row>
    <row r="4" spans="1:3" x14ac:dyDescent="0.25">
      <c r="A4" t="str">
        <f t="shared" si="0"/>
        <v>OR Instalation_DB.Belt1.EmergencyStop.Alm.Mem</v>
      </c>
      <c r="B4" t="str">
        <f t="shared" si="1"/>
        <v>Instalation_DB.Belt1.EmergencyStop.Alm.Mem := False;</v>
      </c>
      <c r="C4" t="s">
        <v>205</v>
      </c>
    </row>
    <row r="5" spans="1:3" x14ac:dyDescent="0.25">
      <c r="A5" t="str">
        <f t="shared" si="0"/>
        <v>OR Instalation_DB.Belt2.RotDetector.WatchTimeOut.Alm.Mem</v>
      </c>
      <c r="B5" t="str">
        <f t="shared" si="1"/>
        <v>Instalation_DB.Belt2.RotDetector.WatchTimeOut.Alm.Mem := False;</v>
      </c>
      <c r="C5" t="s">
        <v>260</v>
      </c>
    </row>
    <row r="6" spans="1:3" x14ac:dyDescent="0.25">
      <c r="A6" t="str">
        <f t="shared" si="0"/>
        <v>OR Instalation_DB.Belt2.Motor.ThProt.Alm.Mem</v>
      </c>
      <c r="B6" t="str">
        <f t="shared" si="1"/>
        <v>Instalation_DB.Belt2.Motor.ThProt.Alm.Mem := False;</v>
      </c>
      <c r="C6" t="s">
        <v>264</v>
      </c>
    </row>
    <row r="7" spans="1:3" x14ac:dyDescent="0.25">
      <c r="A7" t="str">
        <f t="shared" si="0"/>
        <v>OR Instalation_DB.Belt2.EmergencyStop.Alm.Mem</v>
      </c>
      <c r="B7" t="str">
        <f t="shared" si="1"/>
        <v>Instalation_DB.Belt2.EmergencyStop.Alm.Mem := False;</v>
      </c>
      <c r="C7" t="s">
        <v>267</v>
      </c>
    </row>
    <row r="8" spans="1:3" x14ac:dyDescent="0.25">
      <c r="A8" t="str">
        <f t="shared" si="0"/>
        <v>OR Instalation_DB.Belt3.RotDetector.WatchTimeOut.Alm.Mem</v>
      </c>
      <c r="B8" t="str">
        <f t="shared" si="1"/>
        <v>Instalation_DB.Belt3.RotDetector.WatchTimeOut.Alm.Mem := False;</v>
      </c>
      <c r="C8" t="s">
        <v>322</v>
      </c>
    </row>
    <row r="9" spans="1:3" x14ac:dyDescent="0.25">
      <c r="A9" t="str">
        <f t="shared" si="0"/>
        <v>OR Instalation_DB.Belt3.Motor.ThProt.Alm.Mem</v>
      </c>
      <c r="B9" t="str">
        <f t="shared" si="1"/>
        <v>Instalation_DB.Belt3.Motor.ThProt.Alm.Mem := False;</v>
      </c>
      <c r="C9" t="s">
        <v>326</v>
      </c>
    </row>
    <row r="10" spans="1:3" x14ac:dyDescent="0.25">
      <c r="A10" t="str">
        <f t="shared" si="0"/>
        <v>OR Instalation_DB.Belt3.EmergencyStop.Alm.Mem</v>
      </c>
      <c r="B10" t="str">
        <f t="shared" si="1"/>
        <v>Instalation_DB.Belt3.EmergencyStop.Alm.Mem := False;</v>
      </c>
      <c r="C10" t="s">
        <v>329</v>
      </c>
    </row>
    <row r="11" spans="1:3" x14ac:dyDescent="0.25">
      <c r="A11" t="str">
        <f t="shared" si="0"/>
        <v>OR Instalation_DB.Div1.Pos[0].Alm.Mem</v>
      </c>
      <c r="B11" t="str">
        <f t="shared" si="1"/>
        <v>Instalation_DB.Div1.Pos[0].Alm.Mem := False;</v>
      </c>
      <c r="C11" t="s">
        <v>385</v>
      </c>
    </row>
    <row r="12" spans="1:3" x14ac:dyDescent="0.25">
      <c r="A12" t="str">
        <f t="shared" si="0"/>
        <v>OR Instalation_DB.Div1.Pos[1].Alm.Mem</v>
      </c>
      <c r="B12" t="str">
        <f t="shared" si="1"/>
        <v>Instalation_DB.Div1.Pos[1].Alm.Mem := False;</v>
      </c>
      <c r="C12" t="s">
        <v>397</v>
      </c>
    </row>
    <row r="13" spans="1:3" x14ac:dyDescent="0.25">
      <c r="A13" t="str">
        <f t="shared" si="0"/>
        <v>OR Instalation_DB.Div1.Motor.ThProt.Alm.Mem</v>
      </c>
      <c r="B13" t="str">
        <f t="shared" si="1"/>
        <v>Instalation_DB.Div1.Motor.ThProt.Alm.Mem := False;</v>
      </c>
      <c r="C13" t="s">
        <v>402</v>
      </c>
    </row>
    <row r="14" spans="1:3" x14ac:dyDescent="0.25">
      <c r="A14" t="str">
        <f t="shared" si="0"/>
        <v>OR Instalation_DB.Belt0.RotDetector.WatchTimeOut.Alm.Mem</v>
      </c>
      <c r="B14" t="str">
        <f t="shared" si="1"/>
        <v>Instalation_DB.Belt0.RotDetector.WatchTimeOut.Alm.Mem := False;</v>
      </c>
      <c r="C14" t="s">
        <v>482</v>
      </c>
    </row>
    <row r="15" spans="1:3" x14ac:dyDescent="0.25">
      <c r="A15" t="str">
        <f t="shared" si="0"/>
        <v>OR Instalation_DB.Belt0.Motor.ThProt.Alm.Mem</v>
      </c>
      <c r="B15" t="str">
        <f t="shared" si="1"/>
        <v>Instalation_DB.Belt0.Motor.ThProt.Alm.Mem := False;</v>
      </c>
      <c r="C15" t="s">
        <v>489</v>
      </c>
    </row>
    <row r="16" spans="1:3" x14ac:dyDescent="0.25">
      <c r="A16" t="str">
        <f t="shared" si="0"/>
        <v>OR Instalation_DB.Belt0.EmergencyStop.Alm.Mem</v>
      </c>
      <c r="B16" t="str">
        <f t="shared" si="1"/>
        <v>Instalation_DB.Belt0.EmergencyStop.Alm.Mem := False;</v>
      </c>
      <c r="C16" t="s">
        <v>492</v>
      </c>
    </row>
    <row r="17" spans="1:2" x14ac:dyDescent="0.25">
      <c r="A17" t="s">
        <v>511</v>
      </c>
      <c r="B17" t="s">
        <v>514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75C-24C6-47B4-B79C-738CB3006C0C}">
  <sheetPr codeName="Sheet17"/>
  <dimension ref="A1:C5"/>
  <sheetViews>
    <sheetView workbookViewId="0">
      <selection activeCell="C3" sqref="C3"/>
    </sheetView>
  </sheetViews>
  <sheetFormatPr defaultRowHeight="15" x14ac:dyDescent="0.25"/>
  <cols>
    <col min="1" max="1" width="53.85546875" customWidth="1"/>
    <col min="2" max="2" width="42.5703125" customWidth="1"/>
    <col min="3" max="3" width="22.42578125" customWidth="1"/>
    <col min="4" max="4" width="68.28515625" customWidth="1"/>
  </cols>
  <sheetData>
    <row r="1" spans="1:3" x14ac:dyDescent="0.25">
      <c r="B1" t="s">
        <v>331</v>
      </c>
    </row>
    <row r="2" spans="1:3" x14ac:dyDescent="0.25">
      <c r="A2" t="str">
        <f>+B2&amp;" := "&amp;C2&amp;";"</f>
        <v>Instalation_DB.Belt1.RotDetector.Clock.Clk := %M0.3;</v>
      </c>
      <c r="B2" t="s">
        <v>187</v>
      </c>
      <c r="C2" t="s">
        <v>519</v>
      </c>
    </row>
    <row r="3" spans="1:3" x14ac:dyDescent="0.25">
      <c r="A3" t="str">
        <f t="shared" ref="A3:A5" si="0">+B3&amp;" := "&amp;C3&amp;";"</f>
        <v>Instalation_DB.Belt2.RotDetector.Clock.Clk := %M0.3;</v>
      </c>
      <c r="B3" t="s">
        <v>249</v>
      </c>
      <c r="C3" t="s">
        <v>519</v>
      </c>
    </row>
    <row r="4" spans="1:3" x14ac:dyDescent="0.25">
      <c r="A4" t="str">
        <f t="shared" si="0"/>
        <v>Instalation_DB.Belt3.RotDetector.Clock.Clk := %M0.3;</v>
      </c>
      <c r="B4" t="s">
        <v>311</v>
      </c>
      <c r="C4" t="s">
        <v>519</v>
      </c>
    </row>
    <row r="5" spans="1:3" x14ac:dyDescent="0.25">
      <c r="A5" t="str">
        <f t="shared" si="0"/>
        <v>Instalation_DB.Belt0.RotDetector.Clock.Clk := %M0.3;</v>
      </c>
      <c r="B5" t="s">
        <v>471</v>
      </c>
      <c r="C5" t="s">
        <v>519</v>
      </c>
    </row>
  </sheetData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6C519-8AF0-44D3-B382-9AEB3F30B386}">
  <sheetPr codeName="Sheet13"/>
  <dimension ref="A1:I6"/>
  <sheetViews>
    <sheetView workbookViewId="0">
      <selection activeCell="S8" sqref="S8"/>
    </sheetView>
  </sheetViews>
  <sheetFormatPr defaultColWidth="3" defaultRowHeight="15" x14ac:dyDescent="0.25"/>
  <cols>
    <col min="1" max="1" width="21.140625" customWidth="1"/>
    <col min="2" max="2" width="85.5703125" customWidth="1"/>
    <col min="3" max="3" width="15.85546875" customWidth="1"/>
  </cols>
  <sheetData>
    <row r="1" spans="1:9" s="10" customFormat="1" ht="124.5" x14ac:dyDescent="0.25">
      <c r="A1" s="1" t="s">
        <v>509</v>
      </c>
      <c r="B1" t="s">
        <v>506</v>
      </c>
      <c r="C1" s="1"/>
      <c r="D1" s="11" t="s">
        <v>416</v>
      </c>
      <c r="E1" s="11" t="s">
        <v>499</v>
      </c>
      <c r="F1" s="11" t="s">
        <v>500</v>
      </c>
      <c r="G1" s="11" t="s">
        <v>504</v>
      </c>
      <c r="H1" s="11" t="s">
        <v>505</v>
      </c>
      <c r="I1" s="11" t="s">
        <v>501</v>
      </c>
    </row>
    <row r="2" spans="1:9" s="11" customFormat="1" x14ac:dyDescent="0.25">
      <c r="A2" t="s">
        <v>569</v>
      </c>
      <c r="B2" t="str" cm="1">
        <f t="array" ref="B2">RangeTable()</f>
        <v>Wm_Stop: Belt1.Dir[0].Cmd.On := False;Belt2.Dir[0].Cmd.On := False;Belt3.Dir[0].Cmd.On := False;Div1.Pos[0].Cmd.MoveTo := False;Div1.Pos[1].Cmd.MoveTo := False;Belt0.Dir[0].Cmd.On := False;</v>
      </c>
      <c r="C2" t="s">
        <v>50</v>
      </c>
    </row>
    <row r="3" spans="1:9" x14ac:dyDescent="0.25">
      <c r="A3" t="s">
        <v>570</v>
      </c>
      <c r="B3" t="str" cm="1">
        <f t="array" ref="B3">RangeTable()</f>
        <v>Wm_Production: Belt1.Dir[0].Cmd.On := True;Belt2.Dir[0].Cmd.On := True;Belt3.Dir[0].Cmd.On := True;Div1.Pos[0].Cmd.MoveTo := True;Div1.Pos[1].Cmd.MoveTo := False;Belt0.Dir[0].Cmd.On := True;</v>
      </c>
      <c r="C3" t="s">
        <v>50</v>
      </c>
      <c r="D3" t="s">
        <v>502</v>
      </c>
      <c r="E3" t="s">
        <v>502</v>
      </c>
      <c r="F3" t="s">
        <v>502</v>
      </c>
      <c r="G3" t="s">
        <v>502</v>
      </c>
      <c r="I3" t="s">
        <v>502</v>
      </c>
    </row>
    <row r="4" spans="1:9" x14ac:dyDescent="0.25">
      <c r="A4" t="s">
        <v>571</v>
      </c>
      <c r="B4" t="str" cm="1">
        <f t="array" ref="B4">RangeTable()</f>
        <v>Wm_Drop: Belt1.Dir[0].Cmd.On := False;Belt2.Dir[0].Cmd.On := False;Belt3.Dir[0].Cmd.On := False;Div1.Pos[0].Cmd.MoveTo := False;Div1.Pos[1].Cmd.MoveTo := True;Belt0.Dir[0].Cmd.On := True;</v>
      </c>
      <c r="C4" t="s">
        <v>50</v>
      </c>
      <c r="H4" t="s">
        <v>502</v>
      </c>
      <c r="I4" t="s">
        <v>502</v>
      </c>
    </row>
    <row r="6" spans="1:9" x14ac:dyDescent="0.25">
      <c r="B6" t="s">
        <v>503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D4F78-5CE6-4EE4-87EF-4777F29E9D99}">
  <sheetPr codeName="Sheet2"/>
  <dimension ref="A2:B25"/>
  <sheetViews>
    <sheetView workbookViewId="0">
      <selection activeCell="D22" sqref="D22:F24"/>
    </sheetView>
  </sheetViews>
  <sheetFormatPr defaultColWidth="37.42578125" defaultRowHeight="15" x14ac:dyDescent="0.25"/>
  <cols>
    <col min="1" max="1" width="26.7109375" customWidth="1"/>
    <col min="2" max="2" width="29.85546875" customWidth="1"/>
  </cols>
  <sheetData>
    <row r="2" spans="1:2" x14ac:dyDescent="0.25">
      <c r="A2" t="s">
        <v>90</v>
      </c>
      <c r="B2" t="s">
        <v>87</v>
      </c>
    </row>
    <row r="3" spans="1:2" x14ac:dyDescent="0.25">
      <c r="A3" t="s">
        <v>91</v>
      </c>
      <c r="B3" t="s">
        <v>88</v>
      </c>
    </row>
    <row r="4" spans="1:2" x14ac:dyDescent="0.25">
      <c r="A4" t="s">
        <v>92</v>
      </c>
      <c r="B4" t="s">
        <v>88</v>
      </c>
    </row>
    <row r="5" spans="1:2" x14ac:dyDescent="0.25">
      <c r="A5" t="s">
        <v>93</v>
      </c>
      <c r="B5" t="s">
        <v>88</v>
      </c>
    </row>
    <row r="6" spans="1:2" x14ac:dyDescent="0.25">
      <c r="A6" t="s">
        <v>94</v>
      </c>
      <c r="B6" t="s">
        <v>88</v>
      </c>
    </row>
    <row r="7" spans="1:2" x14ac:dyDescent="0.25">
      <c r="A7" t="s">
        <v>90</v>
      </c>
      <c r="B7" t="s">
        <v>87</v>
      </c>
    </row>
    <row r="8" spans="1:2" x14ac:dyDescent="0.25">
      <c r="A8" t="s">
        <v>95</v>
      </c>
      <c r="B8" t="s">
        <v>89</v>
      </c>
    </row>
    <row r="9" spans="1:2" x14ac:dyDescent="0.25">
      <c r="A9" t="s">
        <v>96</v>
      </c>
      <c r="B9" t="s">
        <v>88</v>
      </c>
    </row>
    <row r="10" spans="1:2" x14ac:dyDescent="0.25">
      <c r="A10" t="s">
        <v>97</v>
      </c>
      <c r="B10" t="s">
        <v>87</v>
      </c>
    </row>
    <row r="11" spans="1:2" x14ac:dyDescent="0.25">
      <c r="A11" t="s">
        <v>98</v>
      </c>
      <c r="B11" t="s">
        <v>88</v>
      </c>
    </row>
    <row r="12" spans="1:2" x14ac:dyDescent="0.25">
      <c r="A12" t="s">
        <v>99</v>
      </c>
      <c r="B12" t="s">
        <v>88</v>
      </c>
    </row>
    <row r="13" spans="1:2" x14ac:dyDescent="0.25">
      <c r="A13" t="s">
        <v>100</v>
      </c>
      <c r="B13" t="s">
        <v>87</v>
      </c>
    </row>
    <row r="14" spans="1:2" x14ac:dyDescent="0.25">
      <c r="A14" t="s">
        <v>101</v>
      </c>
      <c r="B14" t="s">
        <v>87</v>
      </c>
    </row>
    <row r="15" spans="1:2" x14ac:dyDescent="0.25">
      <c r="A15" t="s">
        <v>102</v>
      </c>
      <c r="B15" t="s">
        <v>88</v>
      </c>
    </row>
    <row r="16" spans="1:2" x14ac:dyDescent="0.25">
      <c r="A16" t="s">
        <v>103</v>
      </c>
      <c r="B16" t="s">
        <v>89</v>
      </c>
    </row>
    <row r="17" spans="1:2" x14ac:dyDescent="0.25">
      <c r="A17" t="s">
        <v>104</v>
      </c>
      <c r="B17" t="s">
        <v>88</v>
      </c>
    </row>
    <row r="18" spans="1:2" x14ac:dyDescent="0.25">
      <c r="A18" t="s">
        <v>105</v>
      </c>
      <c r="B18" t="s">
        <v>88</v>
      </c>
    </row>
    <row r="19" spans="1:2" x14ac:dyDescent="0.25">
      <c r="A19" t="s">
        <v>106</v>
      </c>
      <c r="B19" t="s">
        <v>87</v>
      </c>
    </row>
    <row r="20" spans="1:2" x14ac:dyDescent="0.25">
      <c r="A20" t="s">
        <v>107</v>
      </c>
      <c r="B20" t="s">
        <v>87</v>
      </c>
    </row>
    <row r="21" spans="1:2" x14ac:dyDescent="0.25">
      <c r="A21" t="s">
        <v>108</v>
      </c>
      <c r="B21" t="s">
        <v>87</v>
      </c>
    </row>
    <row r="22" spans="1:2" x14ac:dyDescent="0.25">
      <c r="A22" t="s">
        <v>109</v>
      </c>
      <c r="B22" t="s">
        <v>88</v>
      </c>
    </row>
    <row r="23" spans="1:2" x14ac:dyDescent="0.25">
      <c r="A23" t="s">
        <v>110</v>
      </c>
      <c r="B23" t="s">
        <v>88</v>
      </c>
    </row>
    <row r="24" spans="1:2" x14ac:dyDescent="0.25">
      <c r="A24" t="s">
        <v>111</v>
      </c>
      <c r="B24" t="s">
        <v>87</v>
      </c>
    </row>
    <row r="25" spans="1:2" x14ac:dyDescent="0.25">
      <c r="A25" t="s">
        <v>112</v>
      </c>
      <c r="B25" t="s">
        <v>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79CF-9893-4E8A-B6C3-544A491E2530}">
  <sheetPr codeName="Sheet11"/>
  <dimension ref="A1"/>
  <sheetViews>
    <sheetView workbookViewId="0">
      <selection activeCell="D22" sqref="D22:F2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Code01</vt:lpstr>
      <vt:lpstr>Code01 (2)</vt:lpstr>
      <vt:lpstr>Diverter1</vt:lpstr>
      <vt:lpstr>Belt1</vt:lpstr>
      <vt:lpstr>Interface</vt:lpstr>
      <vt:lpstr>Structure</vt:lpstr>
      <vt:lpstr>VarList</vt:lpstr>
      <vt:lpstr>Timers</vt:lpstr>
      <vt:lpstr>Inputs</vt:lpstr>
      <vt:lpstr>Outputs</vt:lpstr>
      <vt:lpstr>Alarm Pulse</vt:lpstr>
      <vt:lpstr>Alarm Memory</vt:lpstr>
      <vt:lpstr>Clock</vt:lpstr>
      <vt:lpstr>Command</vt:lpstr>
      <vt:lpstr>DBs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2023-05-22T07:18:33Z</dcterms:created>
  <dcterms:modified xsi:type="dcterms:W3CDTF">2023-06-21T13:12:37Z</dcterms:modified>
</cp:coreProperties>
</file>